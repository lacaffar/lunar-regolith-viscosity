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 Interests_Moon\focus 11.0 CE Landing site\Change5\文章4\"/>
    </mc:Choice>
  </mc:AlternateContent>
  <xr:revisionPtr revIDLastSave="0" documentId="13_ncr:1_{7A54A421-F7EA-4638-AD63-AA5C30048614}" xr6:coauthVersionLast="45" xr6:coauthVersionMax="45" xr10:uidLastSave="{00000000-0000-0000-0000-000000000000}"/>
  <bookViews>
    <workbookView xWindow="28680" yWindow="-120" windowWidth="29040" windowHeight="16440" xr2:uid="{34D9B39F-4E70-4582-ABA4-CE0EEB040D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2" i="1" l="1"/>
  <c r="I12" i="1"/>
  <c r="J11" i="1"/>
  <c r="I11" i="1"/>
  <c r="J10" i="1"/>
  <c r="I10" i="1"/>
  <c r="J14" i="1" l="1"/>
  <c r="J13" i="1"/>
  <c r="I13" i="1"/>
  <c r="J4" i="1"/>
  <c r="J5" i="1"/>
  <c r="J6" i="1"/>
  <c r="J7" i="1"/>
  <c r="J8" i="1"/>
  <c r="J9" i="1"/>
  <c r="J3" i="1"/>
  <c r="I4" i="1"/>
  <c r="I5" i="1"/>
  <c r="I6" i="1"/>
  <c r="I7" i="1"/>
  <c r="I8" i="1"/>
  <c r="I9" i="1"/>
  <c r="I3" i="1"/>
</calcChain>
</file>

<file path=xl/sharedStrings.xml><?xml version="1.0" encoding="utf-8"?>
<sst xmlns="http://schemas.openxmlformats.org/spreadsheetml/2006/main" count="35" uniqueCount="31">
  <si>
    <t>Ni</t>
    <phoneticPr fontId="1" type="noConversion"/>
  </si>
  <si>
    <t>Co</t>
    <phoneticPr fontId="1" type="noConversion"/>
  </si>
  <si>
    <t>Ir</t>
    <phoneticPr fontId="1" type="noConversion"/>
  </si>
  <si>
    <t>Au</t>
    <phoneticPr fontId="1" type="noConversion"/>
  </si>
  <si>
    <t>ppb</t>
    <phoneticPr fontId="1" type="noConversion"/>
  </si>
  <si>
    <t>ppm</t>
    <phoneticPr fontId="1" type="noConversion"/>
  </si>
  <si>
    <t>W</t>
    <phoneticPr fontId="1" type="noConversion"/>
  </si>
  <si>
    <t>Samples</t>
    <phoneticPr fontId="1" type="noConversion"/>
  </si>
  <si>
    <t>Yao et al. (2021)</t>
    <phoneticPr fontId="1" type="noConversion"/>
  </si>
  <si>
    <t>Haskin &amp; Warren (1991)</t>
    <phoneticPr fontId="1" type="noConversion"/>
  </si>
  <si>
    <t>Ni/Co</t>
    <phoneticPr fontId="1" type="noConversion"/>
  </si>
  <si>
    <t>Au/Ir</t>
    <phoneticPr fontId="1" type="noConversion"/>
  </si>
  <si>
    <t>Anders and Grevesse (1989)</t>
    <phoneticPr fontId="1" type="noConversion"/>
  </si>
  <si>
    <t>CI meteorite</t>
    <phoneticPr fontId="1" type="noConversion"/>
  </si>
  <si>
    <t>Fischer-Gödde et al. (2010)</t>
    <phoneticPr fontId="1" type="noConversion"/>
  </si>
  <si>
    <t>Chang'E-5 soil</t>
    <phoneticPr fontId="1" type="noConversion"/>
  </si>
  <si>
    <t>Apollo 11 soil &amp; regolith breccia average</t>
    <phoneticPr fontId="1" type="noConversion"/>
  </si>
  <si>
    <t>Apollo 16 soil &amp; regolith breccia average</t>
    <phoneticPr fontId="1" type="noConversion"/>
  </si>
  <si>
    <t>Apollo 17 soil &amp; regolith breccia average</t>
    <phoneticPr fontId="1" type="noConversion"/>
  </si>
  <si>
    <t>Luna 16 soil &amp; regolith breccia average</t>
    <phoneticPr fontId="1" type="noConversion"/>
  </si>
  <si>
    <t>Luna 20 soil &amp; regolith breccia average</t>
    <phoneticPr fontId="1" type="noConversion"/>
  </si>
  <si>
    <t>Luna 24 soil &amp; regolith breccia average</t>
    <phoneticPr fontId="1" type="noConversion"/>
  </si>
  <si>
    <t>Apollo 12 soil &amp; regolith breccia average</t>
    <phoneticPr fontId="1" type="noConversion"/>
  </si>
  <si>
    <t>Apollo 14 soil &amp; regolith breccia average</t>
    <phoneticPr fontId="1" type="noConversion"/>
  </si>
  <si>
    <t>Apollo 15 soil &amp; regolith breccia average</t>
    <phoneticPr fontId="1" type="noConversion"/>
  </si>
  <si>
    <t>Reference</t>
    <phoneticPr fontId="1" type="noConversion"/>
  </si>
  <si>
    <t>Yao, Y., et al. (2021), Instrumental Neutron Activation Analysis for Lunar Samples Returned by Chang'E-5 (In Chinese with English abstract), Journal of Isotopes.</t>
    <phoneticPr fontId="1" type="noConversion"/>
  </si>
  <si>
    <t>Haskin, L., and P. Warren (1991), Lunar Chemistry, in Lunar Sourcebook, A User's Guide to the Moon, edited, p. 357.</t>
    <phoneticPr fontId="1" type="noConversion"/>
  </si>
  <si>
    <t>Anders, E., and N. Grevesse (1989), Abundances of the elements: Meteoritic and solar, Geochimica et Cosmochimica Acta, 53(1), 197-214.</t>
    <phoneticPr fontId="1" type="noConversion"/>
  </si>
  <si>
    <t>Fischer-Gödde, M., H. Becker, and F. Wombacher (2010), Rhodium, gold and other highly siderophile element abundances in chondritic meteorites, Geochimica et Cosmochimica Acta, 74(1), 356-379.</t>
    <phoneticPr fontId="1" type="noConversion"/>
  </si>
  <si>
    <t>References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</si>
</sst>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2A43-6972-40F9-BD94-2E6073047693}">
  <dimension ref="B1:K20"/>
  <sheetViews>
    <sheetView tabSelected="1" workbookViewId="0">
      <selection activeCell="N11" sqref="N11"/>
    </sheetView>
  </sheetViews>
  <sheetFormatPr defaultRowHeight="14.25" x14ac:dyDescent="0.2"/>
  <cols>
    <col min="2" max="2" width="6.25" customWidth="1"/>
    <col min="3" max="3" width="35.625" style="1" customWidth="1"/>
    <col min="4" max="10" width="9" style="1"/>
    <col min="11" max="11" width="25.5" style="1" customWidth="1"/>
  </cols>
  <sheetData>
    <row r="1" spans="3:11" ht="18.75" customHeight="1" x14ac:dyDescent="0.2">
      <c r="C1" s="5" t="s">
        <v>7</v>
      </c>
      <c r="D1" s="6" t="s">
        <v>1</v>
      </c>
      <c r="E1" s="6" t="s">
        <v>0</v>
      </c>
      <c r="F1" s="6" t="s">
        <v>6</v>
      </c>
      <c r="G1" s="6" t="s">
        <v>2</v>
      </c>
      <c r="H1" s="6" t="s">
        <v>3</v>
      </c>
      <c r="I1" s="5" t="s">
        <v>10</v>
      </c>
      <c r="J1" s="5" t="s">
        <v>11</v>
      </c>
      <c r="K1" s="5" t="s">
        <v>30</v>
      </c>
    </row>
    <row r="2" spans="3:11" ht="17.25" customHeight="1" x14ac:dyDescent="0.2">
      <c r="C2" s="7"/>
      <c r="D2" s="6" t="s">
        <v>5</v>
      </c>
      <c r="E2" s="6" t="s">
        <v>5</v>
      </c>
      <c r="F2" s="6" t="s">
        <v>4</v>
      </c>
      <c r="G2" s="6" t="s">
        <v>4</v>
      </c>
      <c r="H2" s="6" t="s">
        <v>4</v>
      </c>
      <c r="I2" s="7"/>
      <c r="J2" s="7"/>
      <c r="K2" s="7"/>
    </row>
    <row r="3" spans="3:11" ht="18" customHeight="1" x14ac:dyDescent="0.2">
      <c r="C3" s="8" t="s">
        <v>15</v>
      </c>
      <c r="D3" s="9">
        <v>40</v>
      </c>
      <c r="E3" s="8">
        <v>136</v>
      </c>
      <c r="F3" s="8">
        <v>791</v>
      </c>
      <c r="G3" s="8">
        <v>3.61</v>
      </c>
      <c r="H3" s="8">
        <v>8.8000000000000007</v>
      </c>
      <c r="I3" s="9">
        <f>E3/D3</f>
        <v>3.4</v>
      </c>
      <c r="J3" s="9">
        <f>H3/G3</f>
        <v>2.4376731301939061</v>
      </c>
      <c r="K3" s="8" t="s">
        <v>8</v>
      </c>
    </row>
    <row r="4" spans="3:11" x14ac:dyDescent="0.2">
      <c r="C4" s="10" t="s">
        <v>16</v>
      </c>
      <c r="D4" s="9">
        <v>31</v>
      </c>
      <c r="E4" s="8">
        <v>199</v>
      </c>
      <c r="F4" s="8">
        <v>220</v>
      </c>
      <c r="G4" s="8">
        <v>8.6</v>
      </c>
      <c r="H4" s="8">
        <v>2.9</v>
      </c>
      <c r="I4" s="9">
        <f t="shared" ref="I4:I13" si="0">E4/D4</f>
        <v>6.419354838709677</v>
      </c>
      <c r="J4" s="9">
        <f t="shared" ref="J4:J14" si="1">H4/G4</f>
        <v>0.33720930232558138</v>
      </c>
      <c r="K4" s="12" t="s">
        <v>9</v>
      </c>
    </row>
    <row r="5" spans="3:11" x14ac:dyDescent="0.2">
      <c r="C5" s="10" t="s">
        <v>22</v>
      </c>
      <c r="D5" s="8">
        <v>40.799999999999997</v>
      </c>
      <c r="E5" s="8">
        <v>260</v>
      </c>
      <c r="F5" s="8">
        <v>592</v>
      </c>
      <c r="G5" s="8">
        <v>5.6</v>
      </c>
      <c r="H5" s="8">
        <v>2.4</v>
      </c>
      <c r="I5" s="9">
        <f t="shared" si="0"/>
        <v>6.3725490196078436</v>
      </c>
      <c r="J5" s="9">
        <f t="shared" si="1"/>
        <v>0.4285714285714286</v>
      </c>
      <c r="K5" s="13"/>
    </row>
    <row r="6" spans="3:11" x14ac:dyDescent="0.2">
      <c r="C6" s="10" t="s">
        <v>23</v>
      </c>
      <c r="D6" s="8">
        <v>34.6</v>
      </c>
      <c r="E6" s="8">
        <v>411</v>
      </c>
      <c r="F6" s="8">
        <v>1331</v>
      </c>
      <c r="G6" s="8">
        <v>12.5</v>
      </c>
      <c r="H6" s="8">
        <v>6.2</v>
      </c>
      <c r="I6" s="9">
        <f t="shared" si="0"/>
        <v>11.878612716763005</v>
      </c>
      <c r="J6" s="9">
        <f t="shared" si="1"/>
        <v>0.496</v>
      </c>
      <c r="K6" s="13"/>
    </row>
    <row r="7" spans="3:11" x14ac:dyDescent="0.2">
      <c r="C7" s="10" t="s">
        <v>24</v>
      </c>
      <c r="D7" s="8">
        <v>44.6</v>
      </c>
      <c r="E7" s="8">
        <v>216</v>
      </c>
      <c r="F7" s="8">
        <v>628</v>
      </c>
      <c r="G7" s="8">
        <v>6.4</v>
      </c>
      <c r="H7" s="9">
        <v>3</v>
      </c>
      <c r="I7" s="9">
        <f t="shared" si="0"/>
        <v>4.8430493273542599</v>
      </c>
      <c r="J7" s="9">
        <f t="shared" si="1"/>
        <v>0.46875</v>
      </c>
      <c r="K7" s="13"/>
    </row>
    <row r="8" spans="3:11" x14ac:dyDescent="0.2">
      <c r="C8" s="10" t="s">
        <v>17</v>
      </c>
      <c r="D8" s="9">
        <v>27</v>
      </c>
      <c r="E8" s="8">
        <v>378</v>
      </c>
      <c r="F8" s="8">
        <v>209</v>
      </c>
      <c r="G8" s="8">
        <v>11.6</v>
      </c>
      <c r="H8" s="8">
        <v>7.8</v>
      </c>
      <c r="I8" s="9">
        <f t="shared" si="0"/>
        <v>14</v>
      </c>
      <c r="J8" s="9">
        <f t="shared" si="1"/>
        <v>0.67241379310344829</v>
      </c>
      <c r="K8" s="13"/>
    </row>
    <row r="9" spans="3:11" x14ac:dyDescent="0.2">
      <c r="C9" s="10" t="s">
        <v>18</v>
      </c>
      <c r="D9" s="8">
        <v>33.799999999999997</v>
      </c>
      <c r="E9" s="8">
        <v>211</v>
      </c>
      <c r="F9" s="8">
        <v>203</v>
      </c>
      <c r="G9" s="8">
        <v>9.6999999999999993</v>
      </c>
      <c r="H9" s="8">
        <v>4.0999999999999996</v>
      </c>
      <c r="I9" s="9">
        <f t="shared" si="0"/>
        <v>6.2426035502958586</v>
      </c>
      <c r="J9" s="9">
        <f t="shared" si="1"/>
        <v>0.42268041237113402</v>
      </c>
      <c r="K9" s="13"/>
    </row>
    <row r="10" spans="3:11" x14ac:dyDescent="0.2">
      <c r="C10" s="10" t="s">
        <v>19</v>
      </c>
      <c r="D10" s="8">
        <v>35.200000000000003</v>
      </c>
      <c r="E10" s="8">
        <v>174</v>
      </c>
      <c r="F10" s="8"/>
      <c r="G10" s="8">
        <v>9.6999999999999993</v>
      </c>
      <c r="H10" s="8">
        <v>2.5</v>
      </c>
      <c r="I10" s="9">
        <f t="shared" si="0"/>
        <v>4.9431818181818175</v>
      </c>
      <c r="J10" s="9">
        <f t="shared" si="1"/>
        <v>0.25773195876288663</v>
      </c>
      <c r="K10" s="13"/>
    </row>
    <row r="11" spans="3:11" x14ac:dyDescent="0.2">
      <c r="C11" s="10" t="s">
        <v>20</v>
      </c>
      <c r="D11" s="8">
        <v>30</v>
      </c>
      <c r="E11" s="8">
        <v>252</v>
      </c>
      <c r="F11" s="8">
        <v>100</v>
      </c>
      <c r="G11" s="8">
        <v>9.51</v>
      </c>
      <c r="H11" s="8">
        <v>5.4</v>
      </c>
      <c r="I11" s="9">
        <f t="shared" si="0"/>
        <v>8.4</v>
      </c>
      <c r="J11" s="9">
        <f t="shared" si="1"/>
        <v>0.56782334384858046</v>
      </c>
      <c r="K11" s="13"/>
    </row>
    <row r="12" spans="3:11" x14ac:dyDescent="0.2">
      <c r="C12" s="10" t="s">
        <v>21</v>
      </c>
      <c r="D12" s="8">
        <v>49.4</v>
      </c>
      <c r="E12" s="8">
        <v>158</v>
      </c>
      <c r="F12" s="8">
        <v>53</v>
      </c>
      <c r="G12" s="8">
        <v>6.9</v>
      </c>
      <c r="H12" s="8">
        <v>7</v>
      </c>
      <c r="I12" s="9">
        <f t="shared" si="0"/>
        <v>3.1983805668016196</v>
      </c>
      <c r="J12" s="9">
        <f t="shared" si="1"/>
        <v>1.0144927536231882</v>
      </c>
      <c r="K12" s="14"/>
    </row>
    <row r="13" spans="3:11" x14ac:dyDescent="0.2">
      <c r="C13" s="10" t="s">
        <v>13</v>
      </c>
      <c r="D13" s="8">
        <v>502</v>
      </c>
      <c r="E13" s="8">
        <v>11</v>
      </c>
      <c r="F13" s="8">
        <v>92.6</v>
      </c>
      <c r="G13" s="8">
        <v>481</v>
      </c>
      <c r="H13" s="8">
        <v>140</v>
      </c>
      <c r="I13" s="11">
        <f t="shared" si="0"/>
        <v>2.1912350597609563E-2</v>
      </c>
      <c r="J13" s="11">
        <f t="shared" si="1"/>
        <v>0.29106029106029108</v>
      </c>
      <c r="K13" s="8" t="s">
        <v>12</v>
      </c>
    </row>
    <row r="14" spans="3:11" x14ac:dyDescent="0.2">
      <c r="C14" s="10" t="s">
        <v>13</v>
      </c>
      <c r="D14" s="8"/>
      <c r="E14" s="8"/>
      <c r="F14" s="8"/>
      <c r="G14" s="8">
        <v>462</v>
      </c>
      <c r="H14" s="8">
        <v>149</v>
      </c>
      <c r="I14" s="8"/>
      <c r="J14" s="11">
        <f t="shared" si="1"/>
        <v>0.32251082251082253</v>
      </c>
      <c r="K14" s="8" t="s">
        <v>14</v>
      </c>
    </row>
    <row r="16" spans="3:11" x14ac:dyDescent="0.2">
      <c r="C16" s="3" t="s">
        <v>25</v>
      </c>
      <c r="D16" s="3"/>
      <c r="E16" s="3"/>
      <c r="F16" s="3"/>
      <c r="G16" s="3"/>
      <c r="H16" s="3"/>
      <c r="I16" s="3"/>
      <c r="J16" s="3"/>
      <c r="K16" s="3"/>
    </row>
    <row r="17" spans="2:11" x14ac:dyDescent="0.2">
      <c r="B17" s="2">
        <v>1</v>
      </c>
      <c r="C17" s="4" t="s">
        <v>28</v>
      </c>
      <c r="D17" s="4"/>
      <c r="E17" s="4"/>
      <c r="F17" s="4"/>
      <c r="G17" s="4"/>
      <c r="H17" s="4"/>
      <c r="I17" s="4"/>
      <c r="J17" s="4"/>
      <c r="K17" s="4"/>
    </row>
    <row r="18" spans="2:11" x14ac:dyDescent="0.2">
      <c r="B18" s="2">
        <v>2</v>
      </c>
      <c r="C18" s="4" t="s">
        <v>29</v>
      </c>
      <c r="D18" s="4"/>
      <c r="E18" s="4"/>
      <c r="F18" s="4"/>
      <c r="G18" s="4"/>
      <c r="H18" s="4"/>
      <c r="I18" s="4"/>
      <c r="J18" s="4"/>
      <c r="K18" s="4"/>
    </row>
    <row r="19" spans="2:11" x14ac:dyDescent="0.2">
      <c r="B19" s="2">
        <v>3</v>
      </c>
      <c r="C19" s="4" t="s">
        <v>27</v>
      </c>
      <c r="D19" s="4"/>
      <c r="E19" s="4"/>
      <c r="F19" s="4"/>
      <c r="G19" s="4"/>
      <c r="H19" s="4"/>
      <c r="I19" s="4"/>
      <c r="J19" s="4"/>
      <c r="K19" s="4"/>
    </row>
    <row r="20" spans="2:11" x14ac:dyDescent="0.2">
      <c r="B20" s="2">
        <v>4</v>
      </c>
      <c r="C20" s="4" t="s">
        <v>26</v>
      </c>
      <c r="D20" s="4"/>
      <c r="E20" s="4"/>
      <c r="F20" s="4"/>
      <c r="G20" s="4"/>
      <c r="H20" s="4"/>
      <c r="I20" s="4"/>
      <c r="J20" s="4"/>
      <c r="K20" s="4"/>
    </row>
  </sheetData>
  <mergeCells count="10">
    <mergeCell ref="K1:K2"/>
    <mergeCell ref="C1:C2"/>
    <mergeCell ref="I1:I2"/>
    <mergeCell ref="J1:J2"/>
    <mergeCell ref="K4:K12"/>
    <mergeCell ref="C16:K16"/>
    <mergeCell ref="C20:K20"/>
    <mergeCell ref="C19:K19"/>
    <mergeCell ref="C17:K17"/>
    <mergeCell ref="C18:K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2021-12-15T08:42:20Z</dcterms:created>
  <dcterms:modified xsi:type="dcterms:W3CDTF">2022-01-07T07:55:52Z</dcterms:modified>
</cp:coreProperties>
</file>