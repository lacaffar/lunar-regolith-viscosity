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MY Interests_Moon\focus 11.0 CE Landing site\Change5\文章4\"/>
    </mc:Choice>
  </mc:AlternateContent>
  <xr:revisionPtr revIDLastSave="0" documentId="13_ncr:1_{1F1D2D99-B07C-4221-B66B-CD0A291C416B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Table s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23" i="1" l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<sst xmlns="http://schemas.openxmlformats.org/spreadsheetml/2006/main" count="23" uniqueCount="23">
  <si>
    <t>wt.%</t>
    <phoneticPr fontId="2" type="noConversion"/>
  </si>
  <si>
    <t>Plagioclase</t>
  </si>
  <si>
    <t>Olivine</t>
  </si>
  <si>
    <t>Augite</t>
  </si>
  <si>
    <t>Pigeonite</t>
  </si>
  <si>
    <t>Ilmenite</t>
  </si>
  <si>
    <t>Chromite</t>
  </si>
  <si>
    <t>Quartz</t>
  </si>
  <si>
    <t>Cristobalite</t>
  </si>
  <si>
    <t>Glass</t>
  </si>
  <si>
    <t>Sum</t>
    <phoneticPr fontId="2" type="noConversion"/>
  </si>
  <si>
    <t>CE5C0800YJFM001-1</t>
    <phoneticPr fontId="1" type="noConversion"/>
  </si>
  <si>
    <t>CE5C0100YJFM002-1</t>
    <phoneticPr fontId="1" type="noConversion"/>
  </si>
  <si>
    <t>CE5C0100YJFM002-2</t>
    <phoneticPr fontId="1" type="noConversion"/>
  </si>
  <si>
    <t>Orthopyroxene</t>
    <phoneticPr fontId="1" type="noConversion"/>
  </si>
  <si>
    <t>Phosphate</t>
    <phoneticPr fontId="1" type="noConversion"/>
  </si>
  <si>
    <t>CE-5 average</t>
    <phoneticPr fontId="2" type="noConversion"/>
  </si>
  <si>
    <t>Reference:</t>
    <phoneticPr fontId="1" type="noConversion"/>
  </si>
  <si>
    <t>Taylor, G. J., L. M. V. Martel, P. G. Lucey, J. J. Gillis-Davis, D. F. Blake, and P. Sarrazin (2019). Modal analyses of lunar soils by quantitative X-ray diffraction analysis. Geochimica et Cosmochimica Acta, 266, 17-28.</t>
    <phoneticPr fontId="1" type="noConversion"/>
  </si>
  <si>
    <t>Li, C., et al. (2021). Characteristics of the lunar samples returned by Chang’E-5 mission. National Science Review.</t>
    <phoneticPr fontId="1" type="noConversion"/>
  </si>
  <si>
    <t>References</t>
    <phoneticPr fontId="1" type="noConversion"/>
  </si>
  <si>
    <t>Taylor et al. (2019)</t>
    <phoneticPr fontId="1" type="noConversion"/>
  </si>
  <si>
    <t>Li et al. (2021)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</si>
</sst>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等线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27"/>
  <sheetViews>
    <sheetView tabSelected="1" workbookViewId="0">
      <pane ySplit="1" topLeftCell="A101" activePane="bottomLeft" state="frozen"/>
      <selection pane="bottomLeft" activeCell="Q123" sqref="Q123"/>
    </sheetView>
  </sheetViews>
  <sheetFormatPr defaultRowHeight="11.25" x14ac:dyDescent="0.2"/>
  <cols>
    <col min="1" max="1" width="9" style="7"/>
    <col min="2" max="2" width="5.75" style="7" customWidth="1"/>
    <col min="3" max="3" width="16.625" style="7" customWidth="1"/>
    <col min="4" max="15" width="11" style="7" customWidth="1"/>
    <col min="16" max="16" width="10.125" style="12" customWidth="1"/>
    <col min="17" max="16384" width="9" style="7"/>
  </cols>
  <sheetData>
    <row r="1" spans="2:16" s="4" customFormat="1" x14ac:dyDescent="0.2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14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15</v>
      </c>
      <c r="N1" s="1" t="s">
        <v>9</v>
      </c>
      <c r="O1" s="2" t="s">
        <v>10</v>
      </c>
      <c r="P1" s="3" t="s">
        <v>20</v>
      </c>
    </row>
    <row r="2" spans="2:16" x14ac:dyDescent="0.2">
      <c r="B2" s="5">
        <v>1</v>
      </c>
      <c r="C2" s="6">
        <v>10084</v>
      </c>
      <c r="D2" s="5">
        <v>18.8</v>
      </c>
      <c r="E2" s="5">
        <v>0.3</v>
      </c>
      <c r="F2" s="5">
        <v>22.6</v>
      </c>
      <c r="G2" s="5">
        <v>0</v>
      </c>
      <c r="H2" s="5">
        <v>9.1999999999999993</v>
      </c>
      <c r="I2" s="5">
        <v>12</v>
      </c>
      <c r="J2" s="5">
        <v>0.4</v>
      </c>
      <c r="K2" s="5">
        <v>0</v>
      </c>
      <c r="L2" s="5">
        <v>0.8</v>
      </c>
      <c r="M2" s="5">
        <v>0.1</v>
      </c>
      <c r="N2" s="5">
        <v>35.9</v>
      </c>
      <c r="O2" s="5">
        <f>SUM(D2:N2)</f>
        <v>100.1</v>
      </c>
      <c r="P2" s="15" t="s">
        <v>21</v>
      </c>
    </row>
    <row r="3" spans="2:16" x14ac:dyDescent="0.2">
      <c r="B3" s="8">
        <v>2</v>
      </c>
      <c r="C3" s="1">
        <v>12001</v>
      </c>
      <c r="D3" s="8">
        <v>19.3</v>
      </c>
      <c r="E3" s="8">
        <v>6.6</v>
      </c>
      <c r="F3" s="8">
        <v>15</v>
      </c>
      <c r="G3" s="8">
        <v>0</v>
      </c>
      <c r="H3" s="8">
        <v>19.899999999999999</v>
      </c>
      <c r="I3" s="8">
        <v>4.5</v>
      </c>
      <c r="J3" s="8">
        <v>1.3</v>
      </c>
      <c r="K3" s="8">
        <v>0.8</v>
      </c>
      <c r="L3" s="8">
        <v>0.4</v>
      </c>
      <c r="M3" s="8">
        <v>0.6</v>
      </c>
      <c r="N3" s="8">
        <v>31.6</v>
      </c>
      <c r="O3" s="8">
        <f t="shared" ref="O3:O66" si="0">SUM(D3:N3)</f>
        <v>100</v>
      </c>
      <c r="P3" s="16"/>
    </row>
    <row r="4" spans="2:16" x14ac:dyDescent="0.2">
      <c r="B4" s="8">
        <v>3</v>
      </c>
      <c r="C4" s="1">
        <v>12023</v>
      </c>
      <c r="D4" s="8">
        <v>19.3</v>
      </c>
      <c r="E4" s="8">
        <v>7.1</v>
      </c>
      <c r="F4" s="8">
        <v>10.199999999999999</v>
      </c>
      <c r="G4" s="8">
        <v>0</v>
      </c>
      <c r="H4" s="8">
        <v>20.5</v>
      </c>
      <c r="I4" s="8">
        <v>2.9</v>
      </c>
      <c r="J4" s="8">
        <v>3.2</v>
      </c>
      <c r="K4" s="8">
        <v>0.9</v>
      </c>
      <c r="L4" s="8">
        <v>0.8</v>
      </c>
      <c r="M4" s="8">
        <v>1.9</v>
      </c>
      <c r="N4" s="8">
        <v>33.200000000000003</v>
      </c>
      <c r="O4" s="8">
        <f t="shared" si="0"/>
        <v>100</v>
      </c>
      <c r="P4" s="16"/>
    </row>
    <row r="5" spans="2:16" x14ac:dyDescent="0.2">
      <c r="B5" s="8">
        <v>4</v>
      </c>
      <c r="C5" s="1">
        <v>12024</v>
      </c>
      <c r="D5" s="8">
        <v>23</v>
      </c>
      <c r="E5" s="8">
        <v>6.8</v>
      </c>
      <c r="F5" s="8">
        <v>10.5</v>
      </c>
      <c r="G5" s="8">
        <v>2.5</v>
      </c>
      <c r="H5" s="8">
        <v>19.600000000000001</v>
      </c>
      <c r="I5" s="8">
        <v>3.7</v>
      </c>
      <c r="J5" s="8">
        <v>2.9</v>
      </c>
      <c r="K5" s="8">
        <v>1.2</v>
      </c>
      <c r="L5" s="8">
        <v>1</v>
      </c>
      <c r="M5" s="8">
        <v>0.7</v>
      </c>
      <c r="N5" s="8">
        <v>28.2</v>
      </c>
      <c r="O5" s="8">
        <f t="shared" si="0"/>
        <v>100.10000000000001</v>
      </c>
      <c r="P5" s="16"/>
    </row>
    <row r="6" spans="2:16" x14ac:dyDescent="0.2">
      <c r="B6" s="8">
        <v>5</v>
      </c>
      <c r="C6" s="1">
        <v>12030</v>
      </c>
      <c r="D6" s="8">
        <v>20.7</v>
      </c>
      <c r="E6" s="8">
        <v>5</v>
      </c>
      <c r="F6" s="8">
        <v>18.2</v>
      </c>
      <c r="G6" s="8">
        <v>5.0999999999999996</v>
      </c>
      <c r="H6" s="8">
        <v>19.899999999999999</v>
      </c>
      <c r="I6" s="8">
        <v>4.5</v>
      </c>
      <c r="J6" s="8">
        <v>1.3</v>
      </c>
      <c r="K6" s="8">
        <v>1.2</v>
      </c>
      <c r="L6" s="8">
        <v>1.3</v>
      </c>
      <c r="M6" s="8">
        <v>0.4</v>
      </c>
      <c r="N6" s="8">
        <v>22.3</v>
      </c>
      <c r="O6" s="8">
        <f t="shared" si="0"/>
        <v>99.9</v>
      </c>
      <c r="P6" s="16"/>
    </row>
    <row r="7" spans="2:16" x14ac:dyDescent="0.2">
      <c r="B7" s="8">
        <v>6</v>
      </c>
      <c r="C7" s="1">
        <v>12032</v>
      </c>
      <c r="D7" s="8">
        <v>23.5</v>
      </c>
      <c r="E7" s="8">
        <v>3.4</v>
      </c>
      <c r="F7" s="8">
        <v>16.399999999999999</v>
      </c>
      <c r="G7" s="8">
        <v>3.8</v>
      </c>
      <c r="H7" s="8">
        <v>18.899999999999999</v>
      </c>
      <c r="I7" s="8">
        <v>3</v>
      </c>
      <c r="J7" s="8">
        <v>0.8</v>
      </c>
      <c r="K7" s="8">
        <v>0.7</v>
      </c>
      <c r="L7" s="8">
        <v>0.7</v>
      </c>
      <c r="M7" s="8">
        <v>3.9</v>
      </c>
      <c r="N7" s="8">
        <v>24.9</v>
      </c>
      <c r="O7" s="8">
        <f t="shared" si="0"/>
        <v>100</v>
      </c>
      <c r="P7" s="16"/>
    </row>
    <row r="8" spans="2:16" x14ac:dyDescent="0.2">
      <c r="B8" s="8">
        <v>7</v>
      </c>
      <c r="C8" s="1">
        <v>12033</v>
      </c>
      <c r="D8" s="8">
        <v>27.2</v>
      </c>
      <c r="E8" s="8">
        <v>1.1000000000000001</v>
      </c>
      <c r="F8" s="8">
        <v>21.8</v>
      </c>
      <c r="G8" s="8">
        <v>5.8</v>
      </c>
      <c r="H8" s="8">
        <v>18</v>
      </c>
      <c r="I8" s="8">
        <v>7.2</v>
      </c>
      <c r="J8" s="8">
        <v>0</v>
      </c>
      <c r="K8" s="8">
        <v>0.9</v>
      </c>
      <c r="L8" s="8">
        <v>0.8</v>
      </c>
      <c r="M8" s="8">
        <v>0.5</v>
      </c>
      <c r="N8" s="8">
        <v>16.8</v>
      </c>
      <c r="O8" s="8">
        <f t="shared" si="0"/>
        <v>100.10000000000001</v>
      </c>
      <c r="P8" s="16"/>
    </row>
    <row r="9" spans="2:16" x14ac:dyDescent="0.2">
      <c r="B9" s="8">
        <v>8</v>
      </c>
      <c r="C9" s="1">
        <v>12037</v>
      </c>
      <c r="D9" s="8">
        <v>18</v>
      </c>
      <c r="E9" s="8">
        <v>3.8</v>
      </c>
      <c r="F9" s="8">
        <v>13.2</v>
      </c>
      <c r="G9" s="8">
        <v>3.9</v>
      </c>
      <c r="H9" s="8">
        <v>21.8</v>
      </c>
      <c r="I9" s="8">
        <v>6.8</v>
      </c>
      <c r="J9" s="8">
        <v>1.7</v>
      </c>
      <c r="K9" s="8">
        <v>0.8</v>
      </c>
      <c r="L9" s="8">
        <v>0.1</v>
      </c>
      <c r="M9" s="8">
        <v>1.2</v>
      </c>
      <c r="N9" s="8">
        <v>28.7</v>
      </c>
      <c r="O9" s="8">
        <f t="shared" si="0"/>
        <v>100</v>
      </c>
      <c r="P9" s="16"/>
    </row>
    <row r="10" spans="2:16" x14ac:dyDescent="0.2">
      <c r="B10" s="8">
        <v>9</v>
      </c>
      <c r="C10" s="1">
        <v>12041</v>
      </c>
      <c r="D10" s="8">
        <v>18.5</v>
      </c>
      <c r="E10" s="8">
        <v>10.8</v>
      </c>
      <c r="F10" s="8">
        <v>18.8</v>
      </c>
      <c r="G10" s="8">
        <v>0</v>
      </c>
      <c r="H10" s="8">
        <v>12.1</v>
      </c>
      <c r="I10" s="8">
        <v>5.7</v>
      </c>
      <c r="J10" s="8">
        <v>1.6</v>
      </c>
      <c r="K10" s="8">
        <v>1.2</v>
      </c>
      <c r="L10" s="8">
        <v>0.8</v>
      </c>
      <c r="M10" s="8">
        <v>0</v>
      </c>
      <c r="N10" s="8">
        <v>30.6</v>
      </c>
      <c r="O10" s="8">
        <f t="shared" si="0"/>
        <v>100.1</v>
      </c>
      <c r="P10" s="16"/>
    </row>
    <row r="11" spans="2:16" x14ac:dyDescent="0.2">
      <c r="B11" s="8">
        <v>10</v>
      </c>
      <c r="C11" s="1">
        <v>12042</v>
      </c>
      <c r="D11" s="8">
        <v>19.899999999999999</v>
      </c>
      <c r="E11" s="8">
        <v>6.3</v>
      </c>
      <c r="F11" s="8">
        <v>12.5</v>
      </c>
      <c r="G11" s="8">
        <v>2.4</v>
      </c>
      <c r="H11" s="8">
        <v>19.7</v>
      </c>
      <c r="I11" s="8">
        <v>3.4</v>
      </c>
      <c r="J11" s="8">
        <v>2</v>
      </c>
      <c r="K11" s="8">
        <v>1.1000000000000001</v>
      </c>
      <c r="L11" s="8">
        <v>0</v>
      </c>
      <c r="M11" s="8">
        <v>0.5</v>
      </c>
      <c r="N11" s="8">
        <v>32.200000000000003</v>
      </c>
      <c r="O11" s="8">
        <f t="shared" si="0"/>
        <v>100</v>
      </c>
      <c r="P11" s="16"/>
    </row>
    <row r="12" spans="2:16" x14ac:dyDescent="0.2">
      <c r="B12" s="8">
        <v>11</v>
      </c>
      <c r="C12" s="1">
        <v>12044</v>
      </c>
      <c r="D12" s="8">
        <v>17.7</v>
      </c>
      <c r="E12" s="8">
        <v>5.7</v>
      </c>
      <c r="F12" s="8">
        <v>16.899999999999999</v>
      </c>
      <c r="G12" s="8">
        <v>4.9000000000000004</v>
      </c>
      <c r="H12" s="8">
        <v>16.8</v>
      </c>
      <c r="I12" s="8">
        <v>4.4000000000000004</v>
      </c>
      <c r="J12" s="8">
        <v>0.3</v>
      </c>
      <c r="K12" s="8">
        <v>0.4</v>
      </c>
      <c r="L12" s="8">
        <v>0.5</v>
      </c>
      <c r="M12" s="8">
        <v>0.5</v>
      </c>
      <c r="N12" s="8">
        <v>31.9</v>
      </c>
      <c r="O12" s="8">
        <f t="shared" si="0"/>
        <v>100</v>
      </c>
      <c r="P12" s="16"/>
    </row>
    <row r="13" spans="2:16" x14ac:dyDescent="0.2">
      <c r="B13" s="8">
        <v>12</v>
      </c>
      <c r="C13" s="1">
        <v>12070</v>
      </c>
      <c r="D13" s="8">
        <v>18.3</v>
      </c>
      <c r="E13" s="8">
        <v>6.5</v>
      </c>
      <c r="F13" s="8">
        <v>14</v>
      </c>
      <c r="G13" s="8">
        <v>1.8</v>
      </c>
      <c r="H13" s="8">
        <v>19.600000000000001</v>
      </c>
      <c r="I13" s="8">
        <v>3.6</v>
      </c>
      <c r="J13" s="8">
        <v>0.6</v>
      </c>
      <c r="K13" s="8">
        <v>0.1</v>
      </c>
      <c r="L13" s="8">
        <v>0.7</v>
      </c>
      <c r="M13" s="8">
        <v>0.7</v>
      </c>
      <c r="N13" s="8">
        <v>34.200000000000003</v>
      </c>
      <c r="O13" s="8">
        <f t="shared" si="0"/>
        <v>100.1</v>
      </c>
      <c r="P13" s="16"/>
    </row>
    <row r="14" spans="2:16" x14ac:dyDescent="0.2">
      <c r="B14" s="5">
        <v>13</v>
      </c>
      <c r="C14" s="6">
        <v>14003</v>
      </c>
      <c r="D14" s="5">
        <v>27.9</v>
      </c>
      <c r="E14" s="5">
        <v>3.5</v>
      </c>
      <c r="F14" s="5">
        <v>5.0999999999999996</v>
      </c>
      <c r="G14" s="5">
        <v>3.4</v>
      </c>
      <c r="H14" s="5">
        <v>11.5</v>
      </c>
      <c r="I14" s="5">
        <v>2.8</v>
      </c>
      <c r="J14" s="5">
        <v>0.7</v>
      </c>
      <c r="K14" s="5">
        <v>0.9</v>
      </c>
      <c r="L14" s="5">
        <v>0.2</v>
      </c>
      <c r="M14" s="5">
        <v>0.5</v>
      </c>
      <c r="N14" s="5">
        <v>43.5</v>
      </c>
      <c r="O14" s="5">
        <f t="shared" si="0"/>
        <v>100</v>
      </c>
      <c r="P14" s="16"/>
    </row>
    <row r="15" spans="2:16" x14ac:dyDescent="0.2">
      <c r="B15" s="5">
        <v>14</v>
      </c>
      <c r="C15" s="6">
        <v>14141</v>
      </c>
      <c r="D15" s="5">
        <v>35</v>
      </c>
      <c r="E15" s="5">
        <v>4.5</v>
      </c>
      <c r="F15" s="5">
        <v>6.3</v>
      </c>
      <c r="G15" s="5">
        <v>7</v>
      </c>
      <c r="H15" s="5">
        <v>12</v>
      </c>
      <c r="I15" s="5">
        <v>4.0999999999999996</v>
      </c>
      <c r="J15" s="5">
        <v>0.4</v>
      </c>
      <c r="K15" s="5">
        <v>1.4</v>
      </c>
      <c r="L15" s="5">
        <v>0.4</v>
      </c>
      <c r="M15" s="5">
        <v>2.9</v>
      </c>
      <c r="N15" s="5">
        <v>26.1</v>
      </c>
      <c r="O15" s="5">
        <f t="shared" si="0"/>
        <v>100.10000000000002</v>
      </c>
      <c r="P15" s="16"/>
    </row>
    <row r="16" spans="2:16" x14ac:dyDescent="0.2">
      <c r="B16" s="5">
        <v>15</v>
      </c>
      <c r="C16" s="6">
        <v>14148</v>
      </c>
      <c r="D16" s="5">
        <v>27.9</v>
      </c>
      <c r="E16" s="5">
        <v>4.3</v>
      </c>
      <c r="F16" s="5">
        <v>8.4</v>
      </c>
      <c r="G16" s="5">
        <v>5.8</v>
      </c>
      <c r="H16" s="5">
        <v>7.7</v>
      </c>
      <c r="I16" s="5">
        <v>4.2</v>
      </c>
      <c r="J16" s="5">
        <v>0.3</v>
      </c>
      <c r="K16" s="5">
        <v>1.2</v>
      </c>
      <c r="L16" s="5">
        <v>0.4</v>
      </c>
      <c r="M16" s="5">
        <v>1.9</v>
      </c>
      <c r="N16" s="5">
        <v>38.1</v>
      </c>
      <c r="O16" s="5">
        <f t="shared" si="0"/>
        <v>100.19999999999999</v>
      </c>
      <c r="P16" s="16"/>
    </row>
    <row r="17" spans="2:16" x14ac:dyDescent="0.2">
      <c r="B17" s="5">
        <v>16</v>
      </c>
      <c r="C17" s="6">
        <v>14149</v>
      </c>
      <c r="D17" s="5">
        <v>31.5</v>
      </c>
      <c r="E17" s="5">
        <v>3.7</v>
      </c>
      <c r="F17" s="5">
        <v>9.1</v>
      </c>
      <c r="G17" s="5">
        <v>3.7</v>
      </c>
      <c r="H17" s="5">
        <v>8.1999999999999993</v>
      </c>
      <c r="I17" s="5">
        <v>4.5999999999999996</v>
      </c>
      <c r="J17" s="5">
        <v>0.3</v>
      </c>
      <c r="K17" s="5">
        <v>1.2</v>
      </c>
      <c r="L17" s="5">
        <v>0.4</v>
      </c>
      <c r="M17" s="5">
        <v>2.1</v>
      </c>
      <c r="N17" s="5">
        <v>35.299999999999997</v>
      </c>
      <c r="O17" s="5">
        <f t="shared" si="0"/>
        <v>100.1</v>
      </c>
      <c r="P17" s="16"/>
    </row>
    <row r="18" spans="2:16" x14ac:dyDescent="0.2">
      <c r="B18" s="5">
        <v>17</v>
      </c>
      <c r="C18" s="6">
        <v>14156</v>
      </c>
      <c r="D18" s="5">
        <v>28.4</v>
      </c>
      <c r="E18" s="5">
        <v>3.8</v>
      </c>
      <c r="F18" s="5">
        <v>5.8</v>
      </c>
      <c r="G18" s="5">
        <v>5.2</v>
      </c>
      <c r="H18" s="5">
        <v>7.6</v>
      </c>
      <c r="I18" s="5">
        <v>3.8</v>
      </c>
      <c r="J18" s="5">
        <v>1.1000000000000001</v>
      </c>
      <c r="K18" s="5">
        <v>1</v>
      </c>
      <c r="L18" s="5">
        <v>0.3</v>
      </c>
      <c r="M18" s="5">
        <v>2.7</v>
      </c>
      <c r="N18" s="5">
        <v>40.4</v>
      </c>
      <c r="O18" s="5">
        <f t="shared" si="0"/>
        <v>100.1</v>
      </c>
      <c r="P18" s="16"/>
    </row>
    <row r="19" spans="2:16" x14ac:dyDescent="0.2">
      <c r="B19" s="5">
        <v>18</v>
      </c>
      <c r="C19" s="6">
        <v>14163</v>
      </c>
      <c r="D19" s="5">
        <v>31.7</v>
      </c>
      <c r="E19" s="5">
        <v>4.7</v>
      </c>
      <c r="F19" s="5">
        <v>9</v>
      </c>
      <c r="G19" s="5">
        <v>7.2</v>
      </c>
      <c r="H19" s="5">
        <v>7.6</v>
      </c>
      <c r="I19" s="5">
        <v>4.7</v>
      </c>
      <c r="J19" s="5">
        <v>0.3</v>
      </c>
      <c r="K19" s="5">
        <v>1.3</v>
      </c>
      <c r="L19" s="5">
        <v>0</v>
      </c>
      <c r="M19" s="5">
        <v>0.9</v>
      </c>
      <c r="N19" s="5">
        <v>32.4</v>
      </c>
      <c r="O19" s="5">
        <f t="shared" si="0"/>
        <v>99.800000000000011</v>
      </c>
      <c r="P19" s="16"/>
    </row>
    <row r="20" spans="2:16" x14ac:dyDescent="0.2">
      <c r="B20" s="5">
        <v>19</v>
      </c>
      <c r="C20" s="6">
        <v>14259</v>
      </c>
      <c r="D20" s="5">
        <v>26.5</v>
      </c>
      <c r="E20" s="5">
        <v>4.0999999999999996</v>
      </c>
      <c r="F20" s="5">
        <v>10.199999999999999</v>
      </c>
      <c r="G20" s="5">
        <v>4.8</v>
      </c>
      <c r="H20" s="5">
        <v>4.9000000000000004</v>
      </c>
      <c r="I20" s="5">
        <v>6.4</v>
      </c>
      <c r="J20" s="5">
        <v>0</v>
      </c>
      <c r="K20" s="5">
        <v>1.1000000000000001</v>
      </c>
      <c r="L20" s="5">
        <v>0.2</v>
      </c>
      <c r="M20" s="5">
        <v>1.6</v>
      </c>
      <c r="N20" s="5">
        <v>40.1</v>
      </c>
      <c r="O20" s="5">
        <f t="shared" si="0"/>
        <v>99.9</v>
      </c>
      <c r="P20" s="16"/>
    </row>
    <row r="21" spans="2:16" x14ac:dyDescent="0.2">
      <c r="B21" s="5">
        <v>20</v>
      </c>
      <c r="C21" s="6">
        <v>14260</v>
      </c>
      <c r="D21" s="5">
        <v>26.7</v>
      </c>
      <c r="E21" s="5">
        <v>0</v>
      </c>
      <c r="F21" s="5">
        <v>10.9</v>
      </c>
      <c r="G21" s="5">
        <v>4.5</v>
      </c>
      <c r="H21" s="5">
        <v>4.5999999999999996</v>
      </c>
      <c r="I21" s="5">
        <v>8.8000000000000007</v>
      </c>
      <c r="J21" s="5">
        <v>0</v>
      </c>
      <c r="K21" s="5">
        <v>1</v>
      </c>
      <c r="L21" s="5">
        <v>0.4</v>
      </c>
      <c r="M21" s="5">
        <v>1.6</v>
      </c>
      <c r="N21" s="5">
        <v>41.6</v>
      </c>
      <c r="O21" s="5">
        <f t="shared" si="0"/>
        <v>100.1</v>
      </c>
      <c r="P21" s="16"/>
    </row>
    <row r="22" spans="2:16" x14ac:dyDescent="0.2">
      <c r="B22" s="8">
        <v>21</v>
      </c>
      <c r="C22" s="1">
        <v>15013</v>
      </c>
      <c r="D22" s="8">
        <v>20.100000000000001</v>
      </c>
      <c r="E22" s="8">
        <v>7</v>
      </c>
      <c r="F22" s="8">
        <v>8.6</v>
      </c>
      <c r="G22" s="8">
        <v>3</v>
      </c>
      <c r="H22" s="8">
        <v>18.399999999999999</v>
      </c>
      <c r="I22" s="8">
        <v>1.5</v>
      </c>
      <c r="J22" s="8">
        <v>1.7</v>
      </c>
      <c r="K22" s="8">
        <v>0.6</v>
      </c>
      <c r="L22" s="8">
        <v>1</v>
      </c>
      <c r="M22" s="8">
        <v>0.3</v>
      </c>
      <c r="N22" s="8">
        <v>37.9</v>
      </c>
      <c r="O22" s="8">
        <f t="shared" si="0"/>
        <v>100.1</v>
      </c>
      <c r="P22" s="16"/>
    </row>
    <row r="23" spans="2:16" x14ac:dyDescent="0.2">
      <c r="B23" s="8">
        <v>22</v>
      </c>
      <c r="C23" s="1">
        <v>15020</v>
      </c>
      <c r="D23" s="8">
        <v>19.2</v>
      </c>
      <c r="E23" s="8">
        <v>5.3</v>
      </c>
      <c r="F23" s="8">
        <v>10.199999999999999</v>
      </c>
      <c r="G23" s="8">
        <v>4.3</v>
      </c>
      <c r="H23" s="8">
        <v>17.3</v>
      </c>
      <c r="I23" s="8">
        <v>2.1</v>
      </c>
      <c r="J23" s="8">
        <v>0.8</v>
      </c>
      <c r="K23" s="8">
        <v>0.2</v>
      </c>
      <c r="L23" s="8">
        <v>1</v>
      </c>
      <c r="M23" s="8">
        <v>0.4</v>
      </c>
      <c r="N23" s="8">
        <v>39.299999999999997</v>
      </c>
      <c r="O23" s="8">
        <f t="shared" si="0"/>
        <v>100.1</v>
      </c>
      <c r="P23" s="16"/>
    </row>
    <row r="24" spans="2:16" x14ac:dyDescent="0.2">
      <c r="B24" s="8">
        <v>23</v>
      </c>
      <c r="C24" s="1">
        <v>15071</v>
      </c>
      <c r="D24" s="8">
        <v>18.899999999999999</v>
      </c>
      <c r="E24" s="8">
        <v>0.6</v>
      </c>
      <c r="F24" s="8">
        <v>11.1</v>
      </c>
      <c r="G24" s="8">
        <v>4.9000000000000004</v>
      </c>
      <c r="H24" s="8">
        <v>20.8</v>
      </c>
      <c r="I24" s="8">
        <v>4.4000000000000004</v>
      </c>
      <c r="J24" s="8">
        <v>0.9</v>
      </c>
      <c r="K24" s="8">
        <v>0</v>
      </c>
      <c r="L24" s="8">
        <v>0.6</v>
      </c>
      <c r="M24" s="8">
        <v>0.3</v>
      </c>
      <c r="N24" s="8">
        <v>37.5</v>
      </c>
      <c r="O24" s="8">
        <f t="shared" si="0"/>
        <v>100</v>
      </c>
      <c r="P24" s="16"/>
    </row>
    <row r="25" spans="2:16" x14ac:dyDescent="0.2">
      <c r="B25" s="8">
        <v>24</v>
      </c>
      <c r="C25" s="1">
        <v>15081</v>
      </c>
      <c r="D25" s="8">
        <v>20</v>
      </c>
      <c r="E25" s="8">
        <v>4.8</v>
      </c>
      <c r="F25" s="8">
        <v>13.6</v>
      </c>
      <c r="G25" s="8">
        <v>5</v>
      </c>
      <c r="H25" s="8">
        <v>14</v>
      </c>
      <c r="I25" s="8">
        <v>3.4</v>
      </c>
      <c r="J25" s="8">
        <v>0</v>
      </c>
      <c r="K25" s="8">
        <v>0</v>
      </c>
      <c r="L25" s="8">
        <v>0.8</v>
      </c>
      <c r="M25" s="8">
        <v>1.2</v>
      </c>
      <c r="N25" s="8">
        <v>37.200000000000003</v>
      </c>
      <c r="O25" s="8">
        <f t="shared" si="0"/>
        <v>100</v>
      </c>
      <c r="P25" s="16"/>
    </row>
    <row r="26" spans="2:16" x14ac:dyDescent="0.2">
      <c r="B26" s="8">
        <v>25</v>
      </c>
      <c r="C26" s="1">
        <v>15201</v>
      </c>
      <c r="D26" s="8">
        <v>29</v>
      </c>
      <c r="E26" s="8">
        <v>7</v>
      </c>
      <c r="F26" s="8">
        <v>6.3</v>
      </c>
      <c r="G26" s="8">
        <v>5.9</v>
      </c>
      <c r="H26" s="8">
        <v>10.8</v>
      </c>
      <c r="I26" s="8">
        <v>1.8</v>
      </c>
      <c r="J26" s="8">
        <v>0</v>
      </c>
      <c r="K26" s="8">
        <v>0.3</v>
      </c>
      <c r="L26" s="8">
        <v>0.5</v>
      </c>
      <c r="M26" s="8">
        <v>0.4</v>
      </c>
      <c r="N26" s="8">
        <v>37.9</v>
      </c>
      <c r="O26" s="8">
        <f t="shared" si="0"/>
        <v>99.899999999999991</v>
      </c>
      <c r="P26" s="16"/>
    </row>
    <row r="27" spans="2:16" x14ac:dyDescent="0.2">
      <c r="B27" s="8">
        <v>26</v>
      </c>
      <c r="C27" s="1">
        <v>15211</v>
      </c>
      <c r="D27" s="8">
        <v>28.9</v>
      </c>
      <c r="E27" s="8">
        <v>6</v>
      </c>
      <c r="F27" s="8">
        <v>5.3</v>
      </c>
      <c r="G27" s="8">
        <v>4.8</v>
      </c>
      <c r="H27" s="8">
        <v>12.5</v>
      </c>
      <c r="I27" s="8">
        <v>2.1</v>
      </c>
      <c r="J27" s="8">
        <v>1</v>
      </c>
      <c r="K27" s="8">
        <v>0.6</v>
      </c>
      <c r="L27" s="8">
        <v>0.7</v>
      </c>
      <c r="M27" s="8">
        <v>0.2</v>
      </c>
      <c r="N27" s="8">
        <v>38</v>
      </c>
      <c r="O27" s="8">
        <f t="shared" si="0"/>
        <v>100.1</v>
      </c>
      <c r="P27" s="16"/>
    </row>
    <row r="28" spans="2:16" x14ac:dyDescent="0.2">
      <c r="B28" s="8">
        <v>27</v>
      </c>
      <c r="C28" s="1">
        <v>15221</v>
      </c>
      <c r="D28" s="8">
        <v>29.6</v>
      </c>
      <c r="E28" s="8">
        <v>6.4</v>
      </c>
      <c r="F28" s="8">
        <v>5.7</v>
      </c>
      <c r="G28" s="8">
        <v>5.7</v>
      </c>
      <c r="H28" s="8">
        <v>10.5</v>
      </c>
      <c r="I28" s="8">
        <v>2.9</v>
      </c>
      <c r="J28" s="8">
        <v>0.8</v>
      </c>
      <c r="K28" s="8">
        <v>0.3</v>
      </c>
      <c r="L28" s="8">
        <v>0.7</v>
      </c>
      <c r="M28" s="8">
        <v>1.3</v>
      </c>
      <c r="N28" s="8">
        <v>36.299999999999997</v>
      </c>
      <c r="O28" s="8">
        <f t="shared" si="0"/>
        <v>100.19999999999999</v>
      </c>
      <c r="P28" s="16"/>
    </row>
    <row r="29" spans="2:16" x14ac:dyDescent="0.2">
      <c r="B29" s="8">
        <v>28</v>
      </c>
      <c r="C29" s="1">
        <v>15231</v>
      </c>
      <c r="D29" s="8">
        <v>30.7</v>
      </c>
      <c r="E29" s="8">
        <v>6</v>
      </c>
      <c r="F29" s="8">
        <v>5</v>
      </c>
      <c r="G29" s="8">
        <v>3.7</v>
      </c>
      <c r="H29" s="8">
        <v>12.1</v>
      </c>
      <c r="I29" s="8">
        <v>4.0999999999999996</v>
      </c>
      <c r="J29" s="8">
        <v>0.7</v>
      </c>
      <c r="K29" s="8">
        <v>0.4</v>
      </c>
      <c r="L29" s="8">
        <v>0.7</v>
      </c>
      <c r="M29" s="8">
        <v>0.4</v>
      </c>
      <c r="N29" s="8">
        <v>36.299999999999997</v>
      </c>
      <c r="O29" s="8">
        <f t="shared" si="0"/>
        <v>100.10000000000001</v>
      </c>
      <c r="P29" s="16"/>
    </row>
    <row r="30" spans="2:16" x14ac:dyDescent="0.2">
      <c r="B30" s="8">
        <v>29</v>
      </c>
      <c r="C30" s="1">
        <v>15241</v>
      </c>
      <c r="D30" s="8">
        <v>27.2</v>
      </c>
      <c r="E30" s="8">
        <v>6.5</v>
      </c>
      <c r="F30" s="8">
        <v>7.3</v>
      </c>
      <c r="G30" s="8">
        <v>4.0999999999999996</v>
      </c>
      <c r="H30" s="8">
        <v>11</v>
      </c>
      <c r="I30" s="8">
        <v>2.9</v>
      </c>
      <c r="J30" s="8">
        <v>0.7</v>
      </c>
      <c r="K30" s="8">
        <v>0.6</v>
      </c>
      <c r="L30" s="8">
        <v>0.7</v>
      </c>
      <c r="M30" s="8">
        <v>1.6</v>
      </c>
      <c r="N30" s="8">
        <v>37.6</v>
      </c>
      <c r="O30" s="8">
        <f t="shared" si="0"/>
        <v>100.20000000000002</v>
      </c>
      <c r="P30" s="16"/>
    </row>
    <row r="31" spans="2:16" x14ac:dyDescent="0.2">
      <c r="B31" s="8">
        <v>30</v>
      </c>
      <c r="C31" s="1">
        <v>15261</v>
      </c>
      <c r="D31" s="8">
        <v>25</v>
      </c>
      <c r="E31" s="8">
        <v>6.4</v>
      </c>
      <c r="F31" s="8">
        <v>4.2</v>
      </c>
      <c r="G31" s="8">
        <v>4</v>
      </c>
      <c r="H31" s="8">
        <v>12.9</v>
      </c>
      <c r="I31" s="8">
        <v>1.4</v>
      </c>
      <c r="J31" s="8">
        <v>1</v>
      </c>
      <c r="K31" s="8">
        <v>0.6</v>
      </c>
      <c r="L31" s="8">
        <v>0.8</v>
      </c>
      <c r="M31" s="8">
        <v>0.2</v>
      </c>
      <c r="N31" s="8">
        <v>43.5</v>
      </c>
      <c r="O31" s="8">
        <f t="shared" si="0"/>
        <v>100</v>
      </c>
      <c r="P31" s="16"/>
    </row>
    <row r="32" spans="2:16" x14ac:dyDescent="0.2">
      <c r="B32" s="8">
        <v>31</v>
      </c>
      <c r="C32" s="1">
        <v>15271</v>
      </c>
      <c r="D32" s="8">
        <v>27.3</v>
      </c>
      <c r="E32" s="8">
        <v>4.7</v>
      </c>
      <c r="F32" s="8">
        <v>4.5999999999999996</v>
      </c>
      <c r="G32" s="8">
        <v>2.1</v>
      </c>
      <c r="H32" s="8">
        <v>13.2</v>
      </c>
      <c r="I32" s="8">
        <v>2.4</v>
      </c>
      <c r="J32" s="8">
        <v>1.1000000000000001</v>
      </c>
      <c r="K32" s="8">
        <v>0.5</v>
      </c>
      <c r="L32" s="8">
        <v>0.8</v>
      </c>
      <c r="M32" s="8">
        <v>1</v>
      </c>
      <c r="N32" s="8">
        <v>42.3</v>
      </c>
      <c r="O32" s="8">
        <f t="shared" si="0"/>
        <v>100</v>
      </c>
      <c r="P32" s="16"/>
    </row>
    <row r="33" spans="2:16" x14ac:dyDescent="0.2">
      <c r="B33" s="8">
        <v>32</v>
      </c>
      <c r="C33" s="1">
        <v>15291</v>
      </c>
      <c r="D33" s="8">
        <v>27.1</v>
      </c>
      <c r="E33" s="8">
        <v>5.6</v>
      </c>
      <c r="F33" s="8">
        <v>6.3</v>
      </c>
      <c r="G33" s="8">
        <v>4.5</v>
      </c>
      <c r="H33" s="8">
        <v>11.4</v>
      </c>
      <c r="I33" s="8">
        <v>2.1</v>
      </c>
      <c r="J33" s="8">
        <v>0.4</v>
      </c>
      <c r="K33" s="8">
        <v>0.5</v>
      </c>
      <c r="L33" s="8">
        <v>0.5</v>
      </c>
      <c r="M33" s="8">
        <v>0.8</v>
      </c>
      <c r="N33" s="8">
        <v>40.799999999999997</v>
      </c>
      <c r="O33" s="8">
        <f t="shared" si="0"/>
        <v>100</v>
      </c>
      <c r="P33" s="16"/>
    </row>
    <row r="34" spans="2:16" x14ac:dyDescent="0.2">
      <c r="B34" s="8">
        <v>33</v>
      </c>
      <c r="C34" s="1">
        <v>15300</v>
      </c>
      <c r="D34" s="8">
        <v>23.4</v>
      </c>
      <c r="E34" s="8">
        <v>5.6</v>
      </c>
      <c r="F34" s="8">
        <v>5.4</v>
      </c>
      <c r="G34" s="8">
        <v>3.5</v>
      </c>
      <c r="H34" s="8">
        <v>9.8000000000000007</v>
      </c>
      <c r="I34" s="8">
        <v>3.2</v>
      </c>
      <c r="J34" s="8">
        <v>0.5</v>
      </c>
      <c r="K34" s="8">
        <v>0.5</v>
      </c>
      <c r="L34" s="8">
        <v>0.6</v>
      </c>
      <c r="M34" s="8">
        <v>0.2</v>
      </c>
      <c r="N34" s="8">
        <v>47.5</v>
      </c>
      <c r="O34" s="8">
        <f t="shared" si="0"/>
        <v>100.20000000000002</v>
      </c>
      <c r="P34" s="16"/>
    </row>
    <row r="35" spans="2:16" x14ac:dyDescent="0.2">
      <c r="B35" s="8">
        <v>34</v>
      </c>
      <c r="C35" s="1">
        <v>15401</v>
      </c>
      <c r="D35" s="8">
        <v>17.5</v>
      </c>
      <c r="E35" s="8">
        <v>7.8</v>
      </c>
      <c r="F35" s="8">
        <v>4.4000000000000004</v>
      </c>
      <c r="G35" s="8">
        <v>3.8</v>
      </c>
      <c r="H35" s="8">
        <v>9.1</v>
      </c>
      <c r="I35" s="8">
        <v>1.4</v>
      </c>
      <c r="J35" s="8">
        <v>0.8</v>
      </c>
      <c r="K35" s="8">
        <v>0.3</v>
      </c>
      <c r="L35" s="8">
        <v>0.6</v>
      </c>
      <c r="M35" s="8">
        <v>0</v>
      </c>
      <c r="N35" s="8">
        <v>54.5</v>
      </c>
      <c r="O35" s="8">
        <f t="shared" si="0"/>
        <v>100.19999999999999</v>
      </c>
      <c r="P35" s="16"/>
    </row>
    <row r="36" spans="2:16" x14ac:dyDescent="0.2">
      <c r="B36" s="8">
        <v>35</v>
      </c>
      <c r="C36" s="1">
        <v>15411</v>
      </c>
      <c r="D36" s="8">
        <v>22.9</v>
      </c>
      <c r="E36" s="8">
        <v>7.3</v>
      </c>
      <c r="F36" s="8">
        <v>4.5999999999999996</v>
      </c>
      <c r="G36" s="8">
        <v>3.7</v>
      </c>
      <c r="H36" s="8">
        <v>7.5</v>
      </c>
      <c r="I36" s="8">
        <v>9.5</v>
      </c>
      <c r="J36" s="8">
        <v>0.8</v>
      </c>
      <c r="K36" s="8">
        <v>0.5</v>
      </c>
      <c r="L36" s="8">
        <v>0.5</v>
      </c>
      <c r="M36" s="8">
        <v>0.9</v>
      </c>
      <c r="N36" s="8">
        <v>41.9</v>
      </c>
      <c r="O36" s="8">
        <f t="shared" si="0"/>
        <v>100.1</v>
      </c>
      <c r="P36" s="16"/>
    </row>
    <row r="37" spans="2:16" x14ac:dyDescent="0.2">
      <c r="B37" s="8">
        <v>36</v>
      </c>
      <c r="C37" s="1">
        <v>15431</v>
      </c>
      <c r="D37" s="8">
        <v>31</v>
      </c>
      <c r="E37" s="8">
        <v>7.3</v>
      </c>
      <c r="F37" s="8">
        <v>4.3</v>
      </c>
      <c r="G37" s="8">
        <v>2.8</v>
      </c>
      <c r="H37" s="8">
        <v>9.4</v>
      </c>
      <c r="I37" s="8">
        <v>2.6</v>
      </c>
      <c r="J37" s="8">
        <v>1</v>
      </c>
      <c r="K37" s="8">
        <v>0.6</v>
      </c>
      <c r="L37" s="8">
        <v>0.6</v>
      </c>
      <c r="M37" s="8">
        <v>0.7</v>
      </c>
      <c r="N37" s="8">
        <v>39.6</v>
      </c>
      <c r="O37" s="8">
        <f t="shared" si="0"/>
        <v>99.9</v>
      </c>
      <c r="P37" s="16"/>
    </row>
    <row r="38" spans="2:16" x14ac:dyDescent="0.2">
      <c r="B38" s="8">
        <v>37</v>
      </c>
      <c r="C38" s="1">
        <v>15471</v>
      </c>
      <c r="D38" s="8">
        <v>21.5</v>
      </c>
      <c r="E38" s="8">
        <v>8.8000000000000007</v>
      </c>
      <c r="F38" s="8">
        <v>14.5</v>
      </c>
      <c r="G38" s="8">
        <v>2.9</v>
      </c>
      <c r="H38" s="8">
        <v>16.8</v>
      </c>
      <c r="I38" s="8">
        <v>2.1</v>
      </c>
      <c r="J38" s="8">
        <v>3.1</v>
      </c>
      <c r="K38" s="8">
        <v>1</v>
      </c>
      <c r="L38" s="8">
        <v>1</v>
      </c>
      <c r="M38" s="8">
        <v>4.0999999999999996</v>
      </c>
      <c r="N38" s="8">
        <v>24.2</v>
      </c>
      <c r="O38" s="8">
        <f t="shared" si="0"/>
        <v>99.999999999999986</v>
      </c>
      <c r="P38" s="16"/>
    </row>
    <row r="39" spans="2:16" x14ac:dyDescent="0.2">
      <c r="B39" s="8">
        <v>38</v>
      </c>
      <c r="C39" s="1">
        <v>15501</v>
      </c>
      <c r="D39" s="8">
        <v>17.3</v>
      </c>
      <c r="E39" s="8">
        <v>5.7</v>
      </c>
      <c r="F39" s="8">
        <v>11.5</v>
      </c>
      <c r="G39" s="8">
        <v>1.7</v>
      </c>
      <c r="H39" s="8">
        <v>20</v>
      </c>
      <c r="I39" s="8">
        <v>2.2000000000000002</v>
      </c>
      <c r="J39" s="8">
        <v>0.7</v>
      </c>
      <c r="K39" s="8">
        <v>0.1</v>
      </c>
      <c r="L39" s="8">
        <v>0.5</v>
      </c>
      <c r="M39" s="8">
        <v>1.3</v>
      </c>
      <c r="N39" s="8">
        <v>39.1</v>
      </c>
      <c r="O39" s="8">
        <f t="shared" si="0"/>
        <v>100.10000000000001</v>
      </c>
      <c r="P39" s="16"/>
    </row>
    <row r="40" spans="2:16" x14ac:dyDescent="0.2">
      <c r="B40" s="8">
        <v>39</v>
      </c>
      <c r="C40" s="1">
        <v>15531</v>
      </c>
      <c r="D40" s="8">
        <v>16.3</v>
      </c>
      <c r="E40" s="8">
        <v>4.0999999999999996</v>
      </c>
      <c r="F40" s="8">
        <v>15.8</v>
      </c>
      <c r="G40" s="8">
        <v>3.7</v>
      </c>
      <c r="H40" s="8">
        <v>25.4</v>
      </c>
      <c r="I40" s="8">
        <v>3.2</v>
      </c>
      <c r="J40" s="8">
        <v>1.2</v>
      </c>
      <c r="K40" s="8">
        <v>0.4</v>
      </c>
      <c r="L40" s="8">
        <v>0.7</v>
      </c>
      <c r="M40" s="8">
        <v>1.4</v>
      </c>
      <c r="N40" s="8">
        <v>27.7</v>
      </c>
      <c r="O40" s="8">
        <f t="shared" si="0"/>
        <v>99.900000000000034</v>
      </c>
      <c r="P40" s="16"/>
    </row>
    <row r="41" spans="2:16" x14ac:dyDescent="0.2">
      <c r="B41" s="8">
        <v>40</v>
      </c>
      <c r="C41" s="1">
        <v>15601</v>
      </c>
      <c r="D41" s="8">
        <v>18.8</v>
      </c>
      <c r="E41" s="8">
        <v>0.3</v>
      </c>
      <c r="F41" s="8">
        <v>16.899999999999999</v>
      </c>
      <c r="G41" s="8">
        <v>2.1</v>
      </c>
      <c r="H41" s="8">
        <v>24</v>
      </c>
      <c r="I41" s="8">
        <v>1.4</v>
      </c>
      <c r="J41" s="8">
        <v>1.3</v>
      </c>
      <c r="K41" s="8">
        <v>0.4</v>
      </c>
      <c r="L41" s="8">
        <v>0.8</v>
      </c>
      <c r="M41" s="8">
        <v>0.2</v>
      </c>
      <c r="N41" s="8">
        <v>33.799999999999997</v>
      </c>
      <c r="O41" s="8">
        <f t="shared" si="0"/>
        <v>100</v>
      </c>
      <c r="P41" s="16"/>
    </row>
    <row r="42" spans="2:16" x14ac:dyDescent="0.2">
      <c r="B42" s="5">
        <v>41</v>
      </c>
      <c r="C42" s="6">
        <v>60051</v>
      </c>
      <c r="D42" s="5">
        <v>57.7</v>
      </c>
      <c r="E42" s="5">
        <v>3</v>
      </c>
      <c r="F42" s="5">
        <v>2.7</v>
      </c>
      <c r="G42" s="5">
        <v>3.2</v>
      </c>
      <c r="H42" s="5">
        <v>3.6</v>
      </c>
      <c r="I42" s="5">
        <v>0</v>
      </c>
      <c r="J42" s="5"/>
      <c r="K42" s="5"/>
      <c r="L42" s="5"/>
      <c r="M42" s="5"/>
      <c r="N42" s="5">
        <v>29.9</v>
      </c>
      <c r="O42" s="5">
        <f t="shared" si="0"/>
        <v>100.1</v>
      </c>
      <c r="P42" s="16"/>
    </row>
    <row r="43" spans="2:16" x14ac:dyDescent="0.2">
      <c r="B43" s="5">
        <v>42</v>
      </c>
      <c r="C43" s="6">
        <v>60601</v>
      </c>
      <c r="D43" s="5">
        <v>62.3</v>
      </c>
      <c r="E43" s="5">
        <v>2.4</v>
      </c>
      <c r="F43" s="5">
        <v>0</v>
      </c>
      <c r="G43" s="5">
        <v>0.5</v>
      </c>
      <c r="H43" s="5">
        <v>7.1</v>
      </c>
      <c r="I43" s="5">
        <v>0.5</v>
      </c>
      <c r="J43" s="5"/>
      <c r="K43" s="5"/>
      <c r="L43" s="5"/>
      <c r="M43" s="5"/>
      <c r="N43" s="5">
        <v>27.2</v>
      </c>
      <c r="O43" s="5">
        <f t="shared" si="0"/>
        <v>100</v>
      </c>
      <c r="P43" s="16"/>
    </row>
    <row r="44" spans="2:16" x14ac:dyDescent="0.2">
      <c r="B44" s="5">
        <v>43</v>
      </c>
      <c r="C44" s="6">
        <v>61141</v>
      </c>
      <c r="D44" s="5">
        <v>54.8</v>
      </c>
      <c r="E44" s="5">
        <v>5.6</v>
      </c>
      <c r="F44" s="5">
        <v>0</v>
      </c>
      <c r="G44" s="5">
        <v>0</v>
      </c>
      <c r="H44" s="5">
        <v>6</v>
      </c>
      <c r="I44" s="5">
        <v>0.2</v>
      </c>
      <c r="J44" s="5"/>
      <c r="K44" s="5"/>
      <c r="L44" s="5"/>
      <c r="M44" s="5"/>
      <c r="N44" s="5">
        <v>33.299999999999997</v>
      </c>
      <c r="O44" s="5">
        <f t="shared" si="0"/>
        <v>99.9</v>
      </c>
      <c r="P44" s="16"/>
    </row>
    <row r="45" spans="2:16" x14ac:dyDescent="0.2">
      <c r="B45" s="5">
        <v>44</v>
      </c>
      <c r="C45" s="6">
        <v>61161</v>
      </c>
      <c r="D45" s="5">
        <v>53.4</v>
      </c>
      <c r="E45" s="5">
        <v>6.3</v>
      </c>
      <c r="F45" s="5">
        <v>0.2</v>
      </c>
      <c r="G45" s="5">
        <v>0</v>
      </c>
      <c r="H45" s="5">
        <v>7</v>
      </c>
      <c r="I45" s="5">
        <v>0</v>
      </c>
      <c r="J45" s="5"/>
      <c r="K45" s="5"/>
      <c r="L45" s="5"/>
      <c r="M45" s="5"/>
      <c r="N45" s="5">
        <v>33.1</v>
      </c>
      <c r="O45" s="5">
        <f t="shared" si="0"/>
        <v>100</v>
      </c>
      <c r="P45" s="16"/>
    </row>
    <row r="46" spans="2:16" x14ac:dyDescent="0.2">
      <c r="B46" s="5">
        <v>45</v>
      </c>
      <c r="C46" s="6">
        <v>61221</v>
      </c>
      <c r="D46" s="5">
        <v>62.9</v>
      </c>
      <c r="E46" s="5">
        <v>4.5</v>
      </c>
      <c r="F46" s="5">
        <v>1.9</v>
      </c>
      <c r="G46" s="5">
        <v>0.6</v>
      </c>
      <c r="H46" s="5">
        <v>5.0999999999999996</v>
      </c>
      <c r="I46" s="5">
        <v>0.2</v>
      </c>
      <c r="J46" s="5"/>
      <c r="K46" s="5"/>
      <c r="L46" s="5"/>
      <c r="M46" s="5"/>
      <c r="N46" s="5">
        <v>24.9</v>
      </c>
      <c r="O46" s="5">
        <f t="shared" si="0"/>
        <v>100.1</v>
      </c>
      <c r="P46" s="16"/>
    </row>
    <row r="47" spans="2:16" x14ac:dyDescent="0.2">
      <c r="B47" s="5">
        <v>46</v>
      </c>
      <c r="C47" s="6">
        <v>61241</v>
      </c>
      <c r="D47" s="5">
        <v>55.8</v>
      </c>
      <c r="E47" s="5">
        <v>6.2</v>
      </c>
      <c r="F47" s="5">
        <v>2.2000000000000002</v>
      </c>
      <c r="G47" s="5">
        <v>0</v>
      </c>
      <c r="H47" s="5">
        <v>6.3</v>
      </c>
      <c r="I47" s="5">
        <v>0</v>
      </c>
      <c r="J47" s="5"/>
      <c r="K47" s="5"/>
      <c r="L47" s="5"/>
      <c r="M47" s="5"/>
      <c r="N47" s="5">
        <v>29.5</v>
      </c>
      <c r="O47" s="5">
        <f t="shared" si="0"/>
        <v>100</v>
      </c>
      <c r="P47" s="16"/>
    </row>
    <row r="48" spans="2:16" x14ac:dyDescent="0.2">
      <c r="B48" s="5">
        <v>47</v>
      </c>
      <c r="C48" s="6">
        <v>61281</v>
      </c>
      <c r="D48" s="5">
        <v>54.2</v>
      </c>
      <c r="E48" s="5">
        <v>6.3</v>
      </c>
      <c r="F48" s="5">
        <v>0</v>
      </c>
      <c r="G48" s="5">
        <v>0</v>
      </c>
      <c r="H48" s="5">
        <v>7.4</v>
      </c>
      <c r="I48" s="5">
        <v>0.2</v>
      </c>
      <c r="J48" s="5"/>
      <c r="K48" s="5"/>
      <c r="L48" s="5"/>
      <c r="M48" s="5"/>
      <c r="N48" s="5">
        <v>31.9</v>
      </c>
      <c r="O48" s="5">
        <f t="shared" si="0"/>
        <v>100</v>
      </c>
      <c r="P48" s="16"/>
    </row>
    <row r="49" spans="2:16" x14ac:dyDescent="0.2">
      <c r="B49" s="5">
        <v>48</v>
      </c>
      <c r="C49" s="6">
        <v>61501</v>
      </c>
      <c r="D49" s="5">
        <v>54.3</v>
      </c>
      <c r="E49" s="5">
        <v>5.8</v>
      </c>
      <c r="F49" s="5">
        <v>0</v>
      </c>
      <c r="G49" s="5">
        <v>0</v>
      </c>
      <c r="H49" s="5">
        <v>6.6</v>
      </c>
      <c r="I49" s="5">
        <v>0</v>
      </c>
      <c r="J49" s="5"/>
      <c r="K49" s="5"/>
      <c r="L49" s="5"/>
      <c r="M49" s="5"/>
      <c r="N49" s="5">
        <v>33.299999999999997</v>
      </c>
      <c r="O49" s="5">
        <f t="shared" si="0"/>
        <v>99.999999999999986</v>
      </c>
      <c r="P49" s="16"/>
    </row>
    <row r="50" spans="2:16" x14ac:dyDescent="0.2">
      <c r="B50" s="5">
        <v>49</v>
      </c>
      <c r="C50" s="6">
        <v>62241</v>
      </c>
      <c r="D50" s="5">
        <v>52.3</v>
      </c>
      <c r="E50" s="5">
        <v>6</v>
      </c>
      <c r="F50" s="5">
        <v>0.5</v>
      </c>
      <c r="G50" s="5">
        <v>0</v>
      </c>
      <c r="H50" s="5">
        <v>5.6</v>
      </c>
      <c r="I50" s="5">
        <v>0</v>
      </c>
      <c r="J50" s="5"/>
      <c r="K50" s="5"/>
      <c r="L50" s="5"/>
      <c r="M50" s="5"/>
      <c r="N50" s="5">
        <v>35.6</v>
      </c>
      <c r="O50" s="5">
        <f t="shared" si="0"/>
        <v>100</v>
      </c>
      <c r="P50" s="16"/>
    </row>
    <row r="51" spans="2:16" x14ac:dyDescent="0.2">
      <c r="B51" s="5">
        <v>50</v>
      </c>
      <c r="C51" s="6">
        <v>62281</v>
      </c>
      <c r="D51" s="5">
        <v>52.1</v>
      </c>
      <c r="E51" s="5">
        <v>5.6</v>
      </c>
      <c r="F51" s="5">
        <v>0.6</v>
      </c>
      <c r="G51" s="5">
        <v>0.3</v>
      </c>
      <c r="H51" s="5">
        <v>7.1</v>
      </c>
      <c r="I51" s="5">
        <v>0.4</v>
      </c>
      <c r="J51" s="5"/>
      <c r="K51" s="5"/>
      <c r="L51" s="5"/>
      <c r="M51" s="5"/>
      <c r="N51" s="5">
        <v>33.9</v>
      </c>
      <c r="O51" s="5">
        <f t="shared" si="0"/>
        <v>100</v>
      </c>
      <c r="P51" s="16"/>
    </row>
    <row r="52" spans="2:16" x14ac:dyDescent="0.2">
      <c r="B52" s="5">
        <v>51</v>
      </c>
      <c r="C52" s="6">
        <v>63321</v>
      </c>
      <c r="D52" s="5">
        <v>61.1</v>
      </c>
      <c r="E52" s="5">
        <v>5.0999999999999996</v>
      </c>
      <c r="F52" s="5">
        <v>2.5</v>
      </c>
      <c r="G52" s="5">
        <v>0</v>
      </c>
      <c r="H52" s="5">
        <v>3.4</v>
      </c>
      <c r="I52" s="5">
        <v>0.2</v>
      </c>
      <c r="J52" s="5"/>
      <c r="K52" s="5"/>
      <c r="L52" s="5"/>
      <c r="M52" s="5"/>
      <c r="N52" s="5">
        <v>27.7</v>
      </c>
      <c r="O52" s="5">
        <f t="shared" si="0"/>
        <v>100.00000000000001</v>
      </c>
      <c r="P52" s="16"/>
    </row>
    <row r="53" spans="2:16" x14ac:dyDescent="0.2">
      <c r="B53" s="5">
        <v>52</v>
      </c>
      <c r="C53" s="6">
        <v>63341</v>
      </c>
      <c r="D53" s="5">
        <v>63.3</v>
      </c>
      <c r="E53" s="5">
        <v>5.6</v>
      </c>
      <c r="F53" s="5">
        <v>2.2999999999999998</v>
      </c>
      <c r="G53" s="5">
        <v>0</v>
      </c>
      <c r="H53" s="5">
        <v>6</v>
      </c>
      <c r="I53" s="5">
        <v>0.2</v>
      </c>
      <c r="J53" s="5"/>
      <c r="K53" s="5"/>
      <c r="L53" s="5"/>
      <c r="M53" s="5"/>
      <c r="N53" s="5">
        <v>22.5</v>
      </c>
      <c r="O53" s="5">
        <f t="shared" si="0"/>
        <v>99.899999999999991</v>
      </c>
      <c r="P53" s="16"/>
    </row>
    <row r="54" spans="2:16" x14ac:dyDescent="0.2">
      <c r="B54" s="5">
        <v>53</v>
      </c>
      <c r="C54" s="6">
        <v>63501</v>
      </c>
      <c r="D54" s="5">
        <v>61.3</v>
      </c>
      <c r="E54" s="5">
        <v>5.4</v>
      </c>
      <c r="F54" s="5">
        <v>2</v>
      </c>
      <c r="G54" s="5">
        <v>0</v>
      </c>
      <c r="H54" s="5">
        <v>4.8</v>
      </c>
      <c r="I54" s="5">
        <v>0</v>
      </c>
      <c r="J54" s="5"/>
      <c r="K54" s="5"/>
      <c r="L54" s="5"/>
      <c r="M54" s="5"/>
      <c r="N54" s="5">
        <v>26.5</v>
      </c>
      <c r="O54" s="5">
        <f t="shared" si="0"/>
        <v>100</v>
      </c>
      <c r="P54" s="16"/>
    </row>
    <row r="55" spans="2:16" x14ac:dyDescent="0.2">
      <c r="B55" s="5">
        <v>54</v>
      </c>
      <c r="C55" s="6">
        <v>64421</v>
      </c>
      <c r="D55" s="5">
        <v>50.7</v>
      </c>
      <c r="E55" s="5">
        <v>4.4000000000000004</v>
      </c>
      <c r="F55" s="5">
        <v>2.5</v>
      </c>
      <c r="G55" s="5">
        <v>1.5</v>
      </c>
      <c r="H55" s="5">
        <v>3.8</v>
      </c>
      <c r="I55" s="5">
        <v>0</v>
      </c>
      <c r="J55" s="5"/>
      <c r="K55" s="5"/>
      <c r="L55" s="5"/>
      <c r="M55" s="5"/>
      <c r="N55" s="5">
        <v>37.200000000000003</v>
      </c>
      <c r="O55" s="5">
        <f t="shared" si="0"/>
        <v>100.1</v>
      </c>
      <c r="P55" s="16"/>
    </row>
    <row r="56" spans="2:16" x14ac:dyDescent="0.2">
      <c r="B56" s="5">
        <v>55</v>
      </c>
      <c r="C56" s="6">
        <v>64501</v>
      </c>
      <c r="D56" s="5">
        <v>60.2</v>
      </c>
      <c r="E56" s="5">
        <v>4.0999999999999996</v>
      </c>
      <c r="F56" s="5">
        <v>0</v>
      </c>
      <c r="G56" s="5">
        <v>0</v>
      </c>
      <c r="H56" s="5">
        <v>5.3</v>
      </c>
      <c r="I56" s="5">
        <v>0</v>
      </c>
      <c r="J56" s="5"/>
      <c r="K56" s="5"/>
      <c r="L56" s="5"/>
      <c r="M56" s="5"/>
      <c r="N56" s="5">
        <v>30.5</v>
      </c>
      <c r="O56" s="5">
        <f t="shared" si="0"/>
        <v>100.1</v>
      </c>
      <c r="P56" s="16"/>
    </row>
    <row r="57" spans="2:16" x14ac:dyDescent="0.2">
      <c r="B57" s="5">
        <v>56</v>
      </c>
      <c r="C57" s="6">
        <v>65501</v>
      </c>
      <c r="D57" s="5">
        <v>53</v>
      </c>
      <c r="E57" s="5">
        <v>6.4</v>
      </c>
      <c r="F57" s="5">
        <v>3.8</v>
      </c>
      <c r="G57" s="5">
        <v>0</v>
      </c>
      <c r="H57" s="5">
        <v>6.3</v>
      </c>
      <c r="I57" s="5">
        <v>0.7</v>
      </c>
      <c r="J57" s="5"/>
      <c r="K57" s="5"/>
      <c r="L57" s="5"/>
      <c r="M57" s="5"/>
      <c r="N57" s="5">
        <v>29.8</v>
      </c>
      <c r="O57" s="5">
        <f t="shared" si="0"/>
        <v>100</v>
      </c>
      <c r="P57" s="16"/>
    </row>
    <row r="58" spans="2:16" x14ac:dyDescent="0.2">
      <c r="B58" s="5">
        <v>57</v>
      </c>
      <c r="C58" s="6">
        <v>65701</v>
      </c>
      <c r="D58" s="5">
        <v>50.2</v>
      </c>
      <c r="E58" s="5">
        <v>5.4</v>
      </c>
      <c r="F58" s="5">
        <v>3.4</v>
      </c>
      <c r="G58" s="5">
        <v>0</v>
      </c>
      <c r="H58" s="5">
        <v>5</v>
      </c>
      <c r="I58" s="5">
        <v>0</v>
      </c>
      <c r="J58" s="5"/>
      <c r="K58" s="5"/>
      <c r="L58" s="5"/>
      <c r="M58" s="5"/>
      <c r="N58" s="5">
        <v>36</v>
      </c>
      <c r="O58" s="5">
        <f t="shared" si="0"/>
        <v>100</v>
      </c>
      <c r="P58" s="16"/>
    </row>
    <row r="59" spans="2:16" x14ac:dyDescent="0.2">
      <c r="B59" s="5">
        <v>58</v>
      </c>
      <c r="C59" s="6">
        <v>65901</v>
      </c>
      <c r="D59" s="5">
        <v>52.3</v>
      </c>
      <c r="E59" s="5">
        <v>0</v>
      </c>
      <c r="F59" s="5">
        <v>0</v>
      </c>
      <c r="G59" s="5">
        <v>0</v>
      </c>
      <c r="H59" s="5">
        <v>8.4</v>
      </c>
      <c r="I59" s="5">
        <v>0.7</v>
      </c>
      <c r="J59" s="5"/>
      <c r="K59" s="5"/>
      <c r="L59" s="5"/>
      <c r="M59" s="5"/>
      <c r="N59" s="5">
        <v>38.6</v>
      </c>
      <c r="O59" s="5">
        <f t="shared" si="0"/>
        <v>100</v>
      </c>
      <c r="P59" s="16"/>
    </row>
    <row r="60" spans="2:16" x14ac:dyDescent="0.2">
      <c r="B60" s="5">
        <v>59</v>
      </c>
      <c r="C60" s="6">
        <v>66031</v>
      </c>
      <c r="D60" s="5">
        <v>52.9</v>
      </c>
      <c r="E60" s="5">
        <v>5.8</v>
      </c>
      <c r="F60" s="5">
        <v>1.2</v>
      </c>
      <c r="G60" s="5">
        <v>0</v>
      </c>
      <c r="H60" s="5">
        <v>6.7</v>
      </c>
      <c r="I60" s="5">
        <v>0</v>
      </c>
      <c r="J60" s="5"/>
      <c r="K60" s="5"/>
      <c r="L60" s="5"/>
      <c r="M60" s="5"/>
      <c r="N60" s="5">
        <v>33.4</v>
      </c>
      <c r="O60" s="5">
        <f t="shared" si="0"/>
        <v>100</v>
      </c>
      <c r="P60" s="16"/>
    </row>
    <row r="61" spans="2:16" x14ac:dyDescent="0.2">
      <c r="B61" s="5">
        <v>60</v>
      </c>
      <c r="C61" s="6">
        <v>66041</v>
      </c>
      <c r="D61" s="5">
        <v>51.5</v>
      </c>
      <c r="E61" s="5">
        <v>5.5</v>
      </c>
      <c r="F61" s="5">
        <v>1.2</v>
      </c>
      <c r="G61" s="5">
        <v>0</v>
      </c>
      <c r="H61" s="5">
        <v>6.3</v>
      </c>
      <c r="I61" s="5">
        <v>0</v>
      </c>
      <c r="J61" s="5"/>
      <c r="K61" s="5"/>
      <c r="L61" s="5"/>
      <c r="M61" s="5"/>
      <c r="N61" s="5">
        <v>35.5</v>
      </c>
      <c r="O61" s="5">
        <f t="shared" si="0"/>
        <v>100</v>
      </c>
      <c r="P61" s="16"/>
    </row>
    <row r="62" spans="2:16" x14ac:dyDescent="0.2">
      <c r="B62" s="5">
        <v>61</v>
      </c>
      <c r="C62" s="6">
        <v>67461</v>
      </c>
      <c r="D62" s="5">
        <v>72</v>
      </c>
      <c r="E62" s="5">
        <v>5.2</v>
      </c>
      <c r="F62" s="5">
        <v>3.4</v>
      </c>
      <c r="G62" s="5">
        <v>0</v>
      </c>
      <c r="H62" s="5">
        <v>4.9000000000000004</v>
      </c>
      <c r="I62" s="5">
        <v>0</v>
      </c>
      <c r="J62" s="5"/>
      <c r="K62" s="5"/>
      <c r="L62" s="5"/>
      <c r="M62" s="5"/>
      <c r="N62" s="5">
        <v>14.5</v>
      </c>
      <c r="O62" s="5">
        <f t="shared" si="0"/>
        <v>100.00000000000001</v>
      </c>
      <c r="P62" s="16"/>
    </row>
    <row r="63" spans="2:16" x14ac:dyDescent="0.2">
      <c r="B63" s="5">
        <v>62</v>
      </c>
      <c r="C63" s="6">
        <v>67481</v>
      </c>
      <c r="D63" s="5">
        <v>70.7</v>
      </c>
      <c r="E63" s="5">
        <v>2.9</v>
      </c>
      <c r="F63" s="5">
        <v>4</v>
      </c>
      <c r="G63" s="5">
        <v>0.2</v>
      </c>
      <c r="H63" s="5">
        <v>4.5</v>
      </c>
      <c r="I63" s="5">
        <v>0</v>
      </c>
      <c r="J63" s="5"/>
      <c r="K63" s="5"/>
      <c r="L63" s="5"/>
      <c r="M63" s="5"/>
      <c r="N63" s="5">
        <v>17.600000000000001</v>
      </c>
      <c r="O63" s="5">
        <f t="shared" si="0"/>
        <v>99.9</v>
      </c>
      <c r="P63" s="16"/>
    </row>
    <row r="64" spans="2:16" x14ac:dyDescent="0.2">
      <c r="B64" s="5">
        <v>63</v>
      </c>
      <c r="C64" s="6">
        <v>67511</v>
      </c>
      <c r="D64" s="5">
        <v>75.599999999999994</v>
      </c>
      <c r="E64" s="5">
        <v>2.2000000000000002</v>
      </c>
      <c r="F64" s="5">
        <v>5.6</v>
      </c>
      <c r="G64" s="5">
        <v>3.2</v>
      </c>
      <c r="H64" s="5">
        <v>2.6</v>
      </c>
      <c r="I64" s="5">
        <v>0</v>
      </c>
      <c r="J64" s="5"/>
      <c r="K64" s="5"/>
      <c r="L64" s="5"/>
      <c r="M64" s="5"/>
      <c r="N64" s="5">
        <v>10.9</v>
      </c>
      <c r="O64" s="5">
        <f t="shared" si="0"/>
        <v>100.1</v>
      </c>
      <c r="P64" s="16"/>
    </row>
    <row r="65" spans="2:16" x14ac:dyDescent="0.2">
      <c r="B65" s="5">
        <v>64</v>
      </c>
      <c r="C65" s="6">
        <v>67601</v>
      </c>
      <c r="D65" s="5">
        <v>71.099999999999994</v>
      </c>
      <c r="E65" s="5">
        <v>6</v>
      </c>
      <c r="F65" s="5">
        <v>3.5</v>
      </c>
      <c r="G65" s="5">
        <v>0</v>
      </c>
      <c r="H65" s="5">
        <v>4.7</v>
      </c>
      <c r="I65" s="5">
        <v>0</v>
      </c>
      <c r="J65" s="5"/>
      <c r="K65" s="5"/>
      <c r="L65" s="5"/>
      <c r="M65" s="5"/>
      <c r="N65" s="5">
        <v>14.8</v>
      </c>
      <c r="O65" s="5">
        <f t="shared" si="0"/>
        <v>100.1</v>
      </c>
      <c r="P65" s="16"/>
    </row>
    <row r="66" spans="2:16" x14ac:dyDescent="0.2">
      <c r="B66" s="5">
        <v>65</v>
      </c>
      <c r="C66" s="6">
        <v>67701</v>
      </c>
      <c r="D66" s="5">
        <v>73.2</v>
      </c>
      <c r="E66" s="5">
        <v>4.0999999999999996</v>
      </c>
      <c r="F66" s="5">
        <v>3.3</v>
      </c>
      <c r="G66" s="5">
        <v>0.6</v>
      </c>
      <c r="H66" s="5">
        <v>4.5999999999999996</v>
      </c>
      <c r="I66" s="5">
        <v>0</v>
      </c>
      <c r="J66" s="5"/>
      <c r="K66" s="5"/>
      <c r="L66" s="5"/>
      <c r="M66" s="5"/>
      <c r="N66" s="5">
        <v>14.3</v>
      </c>
      <c r="O66" s="5">
        <f t="shared" si="0"/>
        <v>100.09999999999998</v>
      </c>
      <c r="P66" s="16"/>
    </row>
    <row r="67" spans="2:16" x14ac:dyDescent="0.2">
      <c r="B67" s="5">
        <v>66</v>
      </c>
      <c r="C67" s="6">
        <v>67711</v>
      </c>
      <c r="D67" s="5">
        <v>83.9</v>
      </c>
      <c r="E67" s="5">
        <v>7.1</v>
      </c>
      <c r="F67" s="5">
        <v>0</v>
      </c>
      <c r="G67" s="5">
        <v>0</v>
      </c>
      <c r="H67" s="5">
        <v>4.4000000000000004</v>
      </c>
      <c r="I67" s="5">
        <v>0</v>
      </c>
      <c r="J67" s="5"/>
      <c r="K67" s="5"/>
      <c r="L67" s="5"/>
      <c r="M67" s="5"/>
      <c r="N67" s="5">
        <v>4.5999999999999996</v>
      </c>
      <c r="O67" s="5">
        <f t="shared" ref="O67:O123" si="1">SUM(D67:N67)</f>
        <v>100</v>
      </c>
      <c r="P67" s="16"/>
    </row>
    <row r="68" spans="2:16" x14ac:dyDescent="0.2">
      <c r="B68" s="5">
        <v>67</v>
      </c>
      <c r="C68" s="6">
        <v>67960</v>
      </c>
      <c r="D68" s="5">
        <v>65</v>
      </c>
      <c r="E68" s="5">
        <v>8.6</v>
      </c>
      <c r="F68" s="5">
        <v>3.7</v>
      </c>
      <c r="G68" s="5">
        <v>0.3</v>
      </c>
      <c r="H68" s="5">
        <v>6.4</v>
      </c>
      <c r="I68" s="5">
        <v>0.4</v>
      </c>
      <c r="J68" s="5"/>
      <c r="K68" s="5"/>
      <c r="L68" s="5"/>
      <c r="M68" s="5"/>
      <c r="N68" s="5">
        <v>15.6</v>
      </c>
      <c r="O68" s="5">
        <f t="shared" si="1"/>
        <v>100</v>
      </c>
      <c r="P68" s="16"/>
    </row>
    <row r="69" spans="2:16" x14ac:dyDescent="0.2">
      <c r="B69" s="5">
        <v>68</v>
      </c>
      <c r="C69" s="6">
        <v>68121</v>
      </c>
      <c r="D69" s="5">
        <v>54.5</v>
      </c>
      <c r="E69" s="5">
        <v>6.9</v>
      </c>
      <c r="F69" s="5">
        <v>3</v>
      </c>
      <c r="G69" s="5">
        <v>0.2</v>
      </c>
      <c r="H69" s="5">
        <v>4.7</v>
      </c>
      <c r="I69" s="5">
        <v>0.2</v>
      </c>
      <c r="J69" s="5"/>
      <c r="K69" s="5"/>
      <c r="L69" s="5"/>
      <c r="M69" s="5"/>
      <c r="N69" s="5">
        <v>30.4</v>
      </c>
      <c r="O69" s="5">
        <f t="shared" si="1"/>
        <v>99.9</v>
      </c>
      <c r="P69" s="16"/>
    </row>
    <row r="70" spans="2:16" x14ac:dyDescent="0.2">
      <c r="B70" s="5">
        <v>69</v>
      </c>
      <c r="C70" s="6">
        <v>68501</v>
      </c>
      <c r="D70" s="5">
        <v>55.2</v>
      </c>
      <c r="E70" s="5">
        <v>5.6</v>
      </c>
      <c r="F70" s="5">
        <v>2.2000000000000002</v>
      </c>
      <c r="G70" s="5">
        <v>1.2</v>
      </c>
      <c r="H70" s="5">
        <v>5.2</v>
      </c>
      <c r="I70" s="5">
        <v>0.4</v>
      </c>
      <c r="J70" s="5"/>
      <c r="K70" s="5"/>
      <c r="L70" s="5"/>
      <c r="M70" s="5"/>
      <c r="N70" s="5">
        <v>30.2</v>
      </c>
      <c r="O70" s="5">
        <f t="shared" si="1"/>
        <v>100.00000000000001</v>
      </c>
      <c r="P70" s="16"/>
    </row>
    <row r="71" spans="2:16" x14ac:dyDescent="0.2">
      <c r="B71" s="5">
        <v>70</v>
      </c>
      <c r="C71" s="6">
        <v>68841</v>
      </c>
      <c r="D71" s="5">
        <v>57.9</v>
      </c>
      <c r="E71" s="5">
        <v>6</v>
      </c>
      <c r="F71" s="5">
        <v>5.5</v>
      </c>
      <c r="G71" s="5">
        <v>1.7</v>
      </c>
      <c r="H71" s="5">
        <v>4.5</v>
      </c>
      <c r="I71" s="5">
        <v>0</v>
      </c>
      <c r="J71" s="5"/>
      <c r="K71" s="5"/>
      <c r="L71" s="5"/>
      <c r="M71" s="5"/>
      <c r="N71" s="5">
        <v>24.4</v>
      </c>
      <c r="O71" s="5">
        <f t="shared" si="1"/>
        <v>100</v>
      </c>
      <c r="P71" s="16"/>
    </row>
    <row r="72" spans="2:16" x14ac:dyDescent="0.2">
      <c r="B72" s="5">
        <v>71</v>
      </c>
      <c r="C72" s="6">
        <v>69921</v>
      </c>
      <c r="D72" s="5">
        <v>51.7</v>
      </c>
      <c r="E72" s="5">
        <v>3.1</v>
      </c>
      <c r="F72" s="5">
        <v>0.2</v>
      </c>
      <c r="G72" s="5">
        <v>0.3</v>
      </c>
      <c r="H72" s="5">
        <v>7.8</v>
      </c>
      <c r="I72" s="5">
        <v>0.2</v>
      </c>
      <c r="J72" s="5"/>
      <c r="K72" s="5"/>
      <c r="L72" s="5"/>
      <c r="M72" s="5"/>
      <c r="N72" s="5">
        <v>36.6</v>
      </c>
      <c r="O72" s="5">
        <f t="shared" si="1"/>
        <v>99.9</v>
      </c>
      <c r="P72" s="16"/>
    </row>
    <row r="73" spans="2:16" x14ac:dyDescent="0.2">
      <c r="B73" s="5">
        <v>72</v>
      </c>
      <c r="C73" s="6">
        <v>69941</v>
      </c>
      <c r="D73" s="5">
        <v>49.8</v>
      </c>
      <c r="E73" s="5">
        <v>6</v>
      </c>
      <c r="F73" s="5">
        <v>0</v>
      </c>
      <c r="G73" s="5">
        <v>0</v>
      </c>
      <c r="H73" s="5">
        <v>6.8</v>
      </c>
      <c r="I73" s="5">
        <v>0.4</v>
      </c>
      <c r="J73" s="5"/>
      <c r="K73" s="5"/>
      <c r="L73" s="5"/>
      <c r="M73" s="5"/>
      <c r="N73" s="5">
        <v>36.9</v>
      </c>
      <c r="O73" s="5">
        <f t="shared" si="1"/>
        <v>99.899999999999991</v>
      </c>
      <c r="P73" s="16"/>
    </row>
    <row r="74" spans="2:16" x14ac:dyDescent="0.2">
      <c r="B74" s="5">
        <v>73</v>
      </c>
      <c r="C74" s="6">
        <v>69961</v>
      </c>
      <c r="D74" s="5">
        <v>51.8</v>
      </c>
      <c r="E74" s="5">
        <v>5.6</v>
      </c>
      <c r="F74" s="5">
        <v>5.3</v>
      </c>
      <c r="G74" s="5">
        <v>0</v>
      </c>
      <c r="H74" s="5">
        <v>2</v>
      </c>
      <c r="I74" s="5">
        <v>0</v>
      </c>
      <c r="J74" s="5"/>
      <c r="K74" s="5"/>
      <c r="L74" s="5"/>
      <c r="M74" s="5"/>
      <c r="N74" s="5">
        <v>35.299999999999997</v>
      </c>
      <c r="O74" s="5">
        <f t="shared" si="1"/>
        <v>99.999999999999986</v>
      </c>
      <c r="P74" s="16"/>
    </row>
    <row r="75" spans="2:16" x14ac:dyDescent="0.2">
      <c r="B75" s="8">
        <v>74</v>
      </c>
      <c r="C75" s="1">
        <v>70011</v>
      </c>
      <c r="D75" s="8">
        <v>20.2</v>
      </c>
      <c r="E75" s="8">
        <v>6.8</v>
      </c>
      <c r="F75" s="8">
        <v>13.6</v>
      </c>
      <c r="G75" s="8">
        <v>0.5</v>
      </c>
      <c r="H75" s="8">
        <v>13.5</v>
      </c>
      <c r="I75" s="8">
        <v>10.9</v>
      </c>
      <c r="J75" s="8">
        <v>0.5</v>
      </c>
      <c r="K75" s="8">
        <v>0.2</v>
      </c>
      <c r="L75" s="8">
        <v>1</v>
      </c>
      <c r="M75" s="8">
        <v>0.1</v>
      </c>
      <c r="N75" s="8">
        <v>32.700000000000003</v>
      </c>
      <c r="O75" s="8">
        <f t="shared" si="1"/>
        <v>100</v>
      </c>
      <c r="P75" s="16"/>
    </row>
    <row r="76" spans="2:16" x14ac:dyDescent="0.2">
      <c r="B76" s="8">
        <v>75</v>
      </c>
      <c r="C76" s="1">
        <v>70181</v>
      </c>
      <c r="D76" s="8">
        <v>19.2</v>
      </c>
      <c r="E76" s="8">
        <v>6.5</v>
      </c>
      <c r="F76" s="8">
        <v>14.1</v>
      </c>
      <c r="G76" s="8">
        <v>1.7</v>
      </c>
      <c r="H76" s="8">
        <v>11.6</v>
      </c>
      <c r="I76" s="8">
        <v>11</v>
      </c>
      <c r="J76" s="8">
        <v>0.5</v>
      </c>
      <c r="K76" s="8">
        <v>0.4</v>
      </c>
      <c r="L76" s="8">
        <v>1</v>
      </c>
      <c r="M76" s="8">
        <v>0.2</v>
      </c>
      <c r="N76" s="8">
        <v>33.700000000000003</v>
      </c>
      <c r="O76" s="8">
        <f t="shared" si="1"/>
        <v>99.9</v>
      </c>
      <c r="P76" s="16"/>
    </row>
    <row r="77" spans="2:16" x14ac:dyDescent="0.2">
      <c r="B77" s="8">
        <v>76</v>
      </c>
      <c r="C77" s="1">
        <v>70311</v>
      </c>
      <c r="D77" s="8">
        <v>20.7</v>
      </c>
      <c r="E77" s="8">
        <v>0.6</v>
      </c>
      <c r="F77" s="8">
        <v>16</v>
      </c>
      <c r="G77" s="8">
        <v>4.0999999999999996</v>
      </c>
      <c r="H77" s="8">
        <v>12.6</v>
      </c>
      <c r="I77" s="8">
        <v>12.4</v>
      </c>
      <c r="J77" s="8">
        <v>1.6</v>
      </c>
      <c r="K77" s="8">
        <v>0</v>
      </c>
      <c r="L77" s="8">
        <v>1.5</v>
      </c>
      <c r="M77" s="8">
        <v>0.3</v>
      </c>
      <c r="N77" s="8">
        <v>30.3</v>
      </c>
      <c r="O77" s="8">
        <f t="shared" si="1"/>
        <v>100.1</v>
      </c>
      <c r="P77" s="16"/>
    </row>
    <row r="78" spans="2:16" x14ac:dyDescent="0.2">
      <c r="B78" s="8">
        <v>77</v>
      </c>
      <c r="C78" s="1">
        <v>70321</v>
      </c>
      <c r="D78" s="8">
        <v>19.600000000000001</v>
      </c>
      <c r="E78" s="8">
        <v>0.8</v>
      </c>
      <c r="F78" s="8">
        <v>19.8</v>
      </c>
      <c r="G78" s="8">
        <v>0</v>
      </c>
      <c r="H78" s="8">
        <v>15.4</v>
      </c>
      <c r="I78" s="8">
        <v>11.2</v>
      </c>
      <c r="J78" s="8">
        <v>0.9</v>
      </c>
      <c r="K78" s="8">
        <v>0.1</v>
      </c>
      <c r="L78" s="8">
        <v>1</v>
      </c>
      <c r="M78" s="8">
        <v>0.1</v>
      </c>
      <c r="N78" s="8">
        <v>31.2</v>
      </c>
      <c r="O78" s="8">
        <f t="shared" si="1"/>
        <v>100.1</v>
      </c>
      <c r="P78" s="16"/>
    </row>
    <row r="79" spans="2:16" x14ac:dyDescent="0.2">
      <c r="B79" s="8">
        <v>78</v>
      </c>
      <c r="C79" s="1">
        <v>71041</v>
      </c>
      <c r="D79" s="8">
        <v>19.8</v>
      </c>
      <c r="E79" s="8">
        <v>0</v>
      </c>
      <c r="F79" s="8">
        <v>15.5</v>
      </c>
      <c r="G79" s="8">
        <v>0</v>
      </c>
      <c r="H79" s="8">
        <v>16.8</v>
      </c>
      <c r="I79" s="8">
        <v>11.9</v>
      </c>
      <c r="J79" s="8">
        <v>1.4</v>
      </c>
      <c r="K79" s="8">
        <v>0.6</v>
      </c>
      <c r="L79" s="8">
        <v>1.3</v>
      </c>
      <c r="M79" s="8">
        <v>0.1</v>
      </c>
      <c r="N79" s="8">
        <v>32.6</v>
      </c>
      <c r="O79" s="8">
        <f t="shared" si="1"/>
        <v>99.999999999999972</v>
      </c>
      <c r="P79" s="16"/>
    </row>
    <row r="80" spans="2:16" x14ac:dyDescent="0.2">
      <c r="B80" s="8">
        <v>79</v>
      </c>
      <c r="C80" s="1">
        <v>71061</v>
      </c>
      <c r="D80" s="8">
        <v>19.3</v>
      </c>
      <c r="E80" s="8">
        <v>5.7</v>
      </c>
      <c r="F80" s="8">
        <v>18.399999999999999</v>
      </c>
      <c r="G80" s="8">
        <v>0.3</v>
      </c>
      <c r="H80" s="8">
        <v>11.2</v>
      </c>
      <c r="I80" s="8">
        <v>14</v>
      </c>
      <c r="J80" s="8">
        <v>1.2</v>
      </c>
      <c r="K80" s="8">
        <v>0</v>
      </c>
      <c r="L80" s="8">
        <v>1.2</v>
      </c>
      <c r="M80" s="8">
        <v>0.1</v>
      </c>
      <c r="N80" s="8">
        <v>28.7</v>
      </c>
      <c r="O80" s="8">
        <f t="shared" si="1"/>
        <v>100.1</v>
      </c>
      <c r="P80" s="16"/>
    </row>
    <row r="81" spans="2:16" x14ac:dyDescent="0.2">
      <c r="B81" s="8">
        <v>80</v>
      </c>
      <c r="C81" s="1">
        <v>71131</v>
      </c>
      <c r="D81" s="8">
        <v>19.899999999999999</v>
      </c>
      <c r="E81" s="8">
        <v>6.7</v>
      </c>
      <c r="F81" s="8">
        <v>17</v>
      </c>
      <c r="G81" s="8">
        <v>0.5</v>
      </c>
      <c r="H81" s="8">
        <v>14.1</v>
      </c>
      <c r="I81" s="8">
        <v>11.5</v>
      </c>
      <c r="J81" s="8">
        <v>0.5</v>
      </c>
      <c r="K81" s="8">
        <v>0.5</v>
      </c>
      <c r="L81" s="8">
        <v>1.2</v>
      </c>
      <c r="M81" s="8">
        <v>0.3</v>
      </c>
      <c r="N81" s="8">
        <v>27.9</v>
      </c>
      <c r="O81" s="8">
        <f t="shared" si="1"/>
        <v>100.1</v>
      </c>
      <c r="P81" s="16"/>
    </row>
    <row r="82" spans="2:16" x14ac:dyDescent="0.2">
      <c r="B82" s="8">
        <v>81</v>
      </c>
      <c r="C82" s="1">
        <v>71151</v>
      </c>
      <c r="D82" s="8">
        <v>18.8</v>
      </c>
      <c r="E82" s="8">
        <v>6.9</v>
      </c>
      <c r="F82" s="8">
        <v>19.2</v>
      </c>
      <c r="G82" s="8">
        <v>0.8</v>
      </c>
      <c r="H82" s="8">
        <v>11.9</v>
      </c>
      <c r="I82" s="8">
        <v>11.2</v>
      </c>
      <c r="J82" s="8">
        <v>0.4</v>
      </c>
      <c r="K82" s="8">
        <v>0.6</v>
      </c>
      <c r="L82" s="8">
        <v>1.4</v>
      </c>
      <c r="M82" s="8">
        <v>0.2</v>
      </c>
      <c r="N82" s="8">
        <v>28.7</v>
      </c>
      <c r="O82" s="8">
        <f t="shared" si="1"/>
        <v>100.10000000000001</v>
      </c>
      <c r="P82" s="16"/>
    </row>
    <row r="83" spans="2:16" x14ac:dyDescent="0.2">
      <c r="B83" s="8">
        <v>82</v>
      </c>
      <c r="C83" s="1">
        <v>71501</v>
      </c>
      <c r="D83" s="8">
        <v>20.8</v>
      </c>
      <c r="E83" s="8">
        <v>5</v>
      </c>
      <c r="F83" s="8">
        <v>17.8</v>
      </c>
      <c r="G83" s="8">
        <v>0</v>
      </c>
      <c r="H83" s="8">
        <v>12.6</v>
      </c>
      <c r="I83" s="8">
        <v>12.7</v>
      </c>
      <c r="J83" s="8">
        <v>1.1000000000000001</v>
      </c>
      <c r="K83" s="8">
        <v>0</v>
      </c>
      <c r="L83" s="8">
        <v>1.6</v>
      </c>
      <c r="M83" s="8">
        <v>0</v>
      </c>
      <c r="N83" s="8">
        <v>28.4</v>
      </c>
      <c r="O83" s="8">
        <f t="shared" si="1"/>
        <v>100</v>
      </c>
      <c r="P83" s="16"/>
    </row>
    <row r="84" spans="2:16" x14ac:dyDescent="0.2">
      <c r="B84" s="8">
        <v>83</v>
      </c>
      <c r="C84" s="1">
        <v>72131</v>
      </c>
      <c r="D84" s="8">
        <v>17.600000000000001</v>
      </c>
      <c r="E84" s="8">
        <v>7</v>
      </c>
      <c r="F84" s="8">
        <v>14.7</v>
      </c>
      <c r="G84" s="8">
        <v>0</v>
      </c>
      <c r="H84" s="8">
        <v>11.4</v>
      </c>
      <c r="I84" s="8">
        <v>10.1</v>
      </c>
      <c r="J84" s="8">
        <v>1.1000000000000001</v>
      </c>
      <c r="K84" s="8">
        <v>0</v>
      </c>
      <c r="L84" s="8">
        <v>1</v>
      </c>
      <c r="M84" s="8">
        <v>0</v>
      </c>
      <c r="N84" s="8">
        <v>37</v>
      </c>
      <c r="O84" s="8">
        <f t="shared" si="1"/>
        <v>99.9</v>
      </c>
      <c r="P84" s="16"/>
    </row>
    <row r="85" spans="2:16" x14ac:dyDescent="0.2">
      <c r="B85" s="8">
        <v>84</v>
      </c>
      <c r="C85" s="1">
        <v>72141</v>
      </c>
      <c r="D85" s="8">
        <v>24.6</v>
      </c>
      <c r="E85" s="8">
        <v>9.6999999999999993</v>
      </c>
      <c r="F85" s="8">
        <v>9</v>
      </c>
      <c r="G85" s="8">
        <v>2.7</v>
      </c>
      <c r="H85" s="8">
        <v>9.5</v>
      </c>
      <c r="I85" s="8">
        <v>5.2</v>
      </c>
      <c r="J85" s="8">
        <v>0.6</v>
      </c>
      <c r="K85" s="8">
        <v>0</v>
      </c>
      <c r="L85" s="8">
        <v>0.5</v>
      </c>
      <c r="M85" s="8">
        <v>0.2</v>
      </c>
      <c r="N85" s="8">
        <v>37.799999999999997</v>
      </c>
      <c r="O85" s="8">
        <f t="shared" si="1"/>
        <v>99.800000000000011</v>
      </c>
      <c r="P85" s="16"/>
    </row>
    <row r="86" spans="2:16" x14ac:dyDescent="0.2">
      <c r="B86" s="8">
        <v>85</v>
      </c>
      <c r="C86" s="1">
        <v>72150</v>
      </c>
      <c r="D86" s="8">
        <v>19.5</v>
      </c>
      <c r="E86" s="8">
        <v>11.1</v>
      </c>
      <c r="F86" s="8">
        <v>9.1</v>
      </c>
      <c r="G86" s="8">
        <v>1.3</v>
      </c>
      <c r="H86" s="8">
        <v>9.4</v>
      </c>
      <c r="I86" s="8">
        <v>7</v>
      </c>
      <c r="J86" s="8">
        <v>1.9</v>
      </c>
      <c r="K86" s="8">
        <v>0</v>
      </c>
      <c r="L86" s="8">
        <v>0.6</v>
      </c>
      <c r="M86" s="8">
        <v>0.1</v>
      </c>
      <c r="N86" s="8">
        <v>40.1</v>
      </c>
      <c r="O86" s="8">
        <f t="shared" si="1"/>
        <v>100.1</v>
      </c>
      <c r="P86" s="16"/>
    </row>
    <row r="87" spans="2:16" x14ac:dyDescent="0.2">
      <c r="B87" s="8">
        <v>86</v>
      </c>
      <c r="C87" s="1">
        <v>72161</v>
      </c>
      <c r="D87" s="8">
        <v>20.7</v>
      </c>
      <c r="E87" s="8">
        <v>10.9</v>
      </c>
      <c r="F87" s="8">
        <v>8.9</v>
      </c>
      <c r="G87" s="8">
        <v>0</v>
      </c>
      <c r="H87" s="8">
        <v>7.4</v>
      </c>
      <c r="I87" s="8">
        <v>6.9</v>
      </c>
      <c r="J87" s="8">
        <v>2.9</v>
      </c>
      <c r="K87" s="8">
        <v>0.7</v>
      </c>
      <c r="L87" s="8">
        <v>0.5</v>
      </c>
      <c r="M87" s="8">
        <v>0.9</v>
      </c>
      <c r="N87" s="8">
        <v>40.200000000000003</v>
      </c>
      <c r="O87" s="8">
        <f t="shared" si="1"/>
        <v>100</v>
      </c>
      <c r="P87" s="16"/>
    </row>
    <row r="88" spans="2:16" x14ac:dyDescent="0.2">
      <c r="B88" s="8">
        <v>87</v>
      </c>
      <c r="C88" s="1">
        <v>72321</v>
      </c>
      <c r="D88" s="8">
        <v>42.4</v>
      </c>
      <c r="E88" s="8">
        <v>9.6999999999999993</v>
      </c>
      <c r="F88" s="8">
        <v>4.5</v>
      </c>
      <c r="G88" s="8">
        <v>4.5</v>
      </c>
      <c r="H88" s="8">
        <v>6.9</v>
      </c>
      <c r="I88" s="8">
        <v>2.4</v>
      </c>
      <c r="J88" s="8">
        <v>1</v>
      </c>
      <c r="K88" s="8">
        <v>0.6</v>
      </c>
      <c r="L88" s="8">
        <v>0.4</v>
      </c>
      <c r="M88" s="8">
        <v>0.2</v>
      </c>
      <c r="N88" s="8">
        <v>27.6</v>
      </c>
      <c r="O88" s="8">
        <f t="shared" si="1"/>
        <v>100.20000000000002</v>
      </c>
      <c r="P88" s="16"/>
    </row>
    <row r="89" spans="2:16" x14ac:dyDescent="0.2">
      <c r="B89" s="8">
        <v>88</v>
      </c>
      <c r="C89" s="1">
        <v>72441</v>
      </c>
      <c r="D89" s="8">
        <v>40.9</v>
      </c>
      <c r="E89" s="8">
        <v>10.1</v>
      </c>
      <c r="F89" s="8">
        <v>4.5999999999999996</v>
      </c>
      <c r="G89" s="8">
        <v>5</v>
      </c>
      <c r="H89" s="8">
        <v>8.4</v>
      </c>
      <c r="I89" s="8">
        <v>2.2000000000000002</v>
      </c>
      <c r="J89" s="8">
        <v>0.6</v>
      </c>
      <c r="K89" s="8">
        <v>0.5</v>
      </c>
      <c r="L89" s="8">
        <v>0.5</v>
      </c>
      <c r="M89" s="8">
        <v>0.2</v>
      </c>
      <c r="N89" s="8">
        <v>27.1</v>
      </c>
      <c r="O89" s="8">
        <f t="shared" si="1"/>
        <v>100.1</v>
      </c>
      <c r="P89" s="16"/>
    </row>
    <row r="90" spans="2:16" x14ac:dyDescent="0.2">
      <c r="B90" s="8">
        <v>89</v>
      </c>
      <c r="C90" s="1">
        <v>72461</v>
      </c>
      <c r="D90" s="8">
        <v>42</v>
      </c>
      <c r="E90" s="8">
        <v>9.6999999999999993</v>
      </c>
      <c r="F90" s="8">
        <v>4.9000000000000004</v>
      </c>
      <c r="G90" s="8">
        <v>4.5</v>
      </c>
      <c r="H90" s="8">
        <v>6.9</v>
      </c>
      <c r="I90" s="8">
        <v>1.8</v>
      </c>
      <c r="J90" s="8">
        <v>0.3</v>
      </c>
      <c r="K90" s="8">
        <v>0.7</v>
      </c>
      <c r="L90" s="8">
        <v>0.4</v>
      </c>
      <c r="M90" s="8">
        <v>0.1</v>
      </c>
      <c r="N90" s="8">
        <v>28.7</v>
      </c>
      <c r="O90" s="8">
        <f t="shared" si="1"/>
        <v>100</v>
      </c>
      <c r="P90" s="16"/>
    </row>
    <row r="91" spans="2:16" x14ac:dyDescent="0.2">
      <c r="B91" s="8">
        <v>90</v>
      </c>
      <c r="C91" s="1">
        <v>72501</v>
      </c>
      <c r="D91" s="8">
        <v>40.700000000000003</v>
      </c>
      <c r="E91" s="8">
        <v>9.1</v>
      </c>
      <c r="F91" s="8">
        <v>4.3</v>
      </c>
      <c r="G91" s="8">
        <v>5.4</v>
      </c>
      <c r="H91" s="8">
        <v>8.5</v>
      </c>
      <c r="I91" s="8">
        <v>2.7</v>
      </c>
      <c r="J91" s="8">
        <v>0.6</v>
      </c>
      <c r="K91" s="8">
        <v>0.4</v>
      </c>
      <c r="L91" s="8">
        <v>0.4</v>
      </c>
      <c r="M91" s="8">
        <v>0</v>
      </c>
      <c r="N91" s="8">
        <v>27.9</v>
      </c>
      <c r="O91" s="8">
        <f t="shared" si="1"/>
        <v>100</v>
      </c>
      <c r="P91" s="16"/>
    </row>
    <row r="92" spans="2:16" x14ac:dyDescent="0.2">
      <c r="B92" s="8">
        <v>91</v>
      </c>
      <c r="C92" s="1">
        <v>73121</v>
      </c>
      <c r="D92" s="8">
        <v>41.4</v>
      </c>
      <c r="E92" s="8">
        <v>10.199999999999999</v>
      </c>
      <c r="F92" s="8">
        <v>6.6</v>
      </c>
      <c r="G92" s="8">
        <v>5.2</v>
      </c>
      <c r="H92" s="8">
        <v>6.4</v>
      </c>
      <c r="I92" s="8">
        <v>3.8</v>
      </c>
      <c r="J92" s="8">
        <v>0</v>
      </c>
      <c r="K92" s="8">
        <v>0.5</v>
      </c>
      <c r="L92" s="8">
        <v>0.5</v>
      </c>
      <c r="M92" s="8">
        <v>0</v>
      </c>
      <c r="N92" s="8">
        <v>25.6</v>
      </c>
      <c r="O92" s="8">
        <f t="shared" si="1"/>
        <v>100.19999999999999</v>
      </c>
      <c r="P92" s="16"/>
    </row>
    <row r="93" spans="2:16" x14ac:dyDescent="0.2">
      <c r="B93" s="8">
        <v>92</v>
      </c>
      <c r="C93" s="1">
        <v>73131</v>
      </c>
      <c r="D93" s="8">
        <v>52.3</v>
      </c>
      <c r="E93" s="8">
        <v>11.2</v>
      </c>
      <c r="F93" s="8">
        <v>3.9</v>
      </c>
      <c r="G93" s="8">
        <v>5.8</v>
      </c>
      <c r="H93" s="8">
        <v>8.4</v>
      </c>
      <c r="I93" s="8">
        <v>2.2000000000000002</v>
      </c>
      <c r="J93" s="8">
        <v>0.6</v>
      </c>
      <c r="K93" s="8">
        <v>0.4</v>
      </c>
      <c r="L93" s="8">
        <v>0.3</v>
      </c>
      <c r="M93" s="8">
        <v>0</v>
      </c>
      <c r="N93" s="8">
        <v>14.8</v>
      </c>
      <c r="O93" s="8">
        <f t="shared" si="1"/>
        <v>99.9</v>
      </c>
      <c r="P93" s="16"/>
    </row>
    <row r="94" spans="2:16" x14ac:dyDescent="0.2">
      <c r="B94" s="8">
        <v>93</v>
      </c>
      <c r="C94" s="1">
        <v>73151</v>
      </c>
      <c r="D94" s="8">
        <v>42.3</v>
      </c>
      <c r="E94" s="8">
        <v>10.4</v>
      </c>
      <c r="F94" s="8">
        <v>4.4000000000000004</v>
      </c>
      <c r="G94" s="8">
        <v>4.2</v>
      </c>
      <c r="H94" s="8">
        <v>6.6</v>
      </c>
      <c r="I94" s="8">
        <v>2.2999999999999998</v>
      </c>
      <c r="J94" s="8">
        <v>1.9</v>
      </c>
      <c r="K94" s="8">
        <v>0.6</v>
      </c>
      <c r="L94" s="8">
        <v>0.6</v>
      </c>
      <c r="M94" s="8">
        <v>0</v>
      </c>
      <c r="N94" s="8">
        <v>26.7</v>
      </c>
      <c r="O94" s="8">
        <f t="shared" si="1"/>
        <v>99.999999999999986</v>
      </c>
      <c r="P94" s="16"/>
    </row>
    <row r="95" spans="2:16" x14ac:dyDescent="0.2">
      <c r="B95" s="8">
        <v>94</v>
      </c>
      <c r="C95" s="1">
        <v>73211</v>
      </c>
      <c r="D95" s="8">
        <v>45.3</v>
      </c>
      <c r="E95" s="8">
        <v>10.4</v>
      </c>
      <c r="F95" s="8">
        <v>4.5</v>
      </c>
      <c r="G95" s="8">
        <v>2.6</v>
      </c>
      <c r="H95" s="8">
        <v>8.6</v>
      </c>
      <c r="I95" s="8">
        <v>3</v>
      </c>
      <c r="J95" s="8">
        <v>0.8</v>
      </c>
      <c r="K95" s="8">
        <v>0.2</v>
      </c>
      <c r="L95" s="8">
        <v>0.5</v>
      </c>
      <c r="M95" s="8">
        <v>0</v>
      </c>
      <c r="N95" s="8">
        <v>24.1</v>
      </c>
      <c r="O95" s="8">
        <f t="shared" si="1"/>
        <v>100</v>
      </c>
      <c r="P95" s="16"/>
    </row>
    <row r="96" spans="2:16" x14ac:dyDescent="0.2">
      <c r="B96" s="8">
        <v>95</v>
      </c>
      <c r="C96" s="1">
        <v>73221</v>
      </c>
      <c r="D96" s="8">
        <v>43.9</v>
      </c>
      <c r="E96" s="8">
        <v>9.8000000000000007</v>
      </c>
      <c r="F96" s="8">
        <v>4.5999999999999996</v>
      </c>
      <c r="G96" s="8">
        <v>5</v>
      </c>
      <c r="H96" s="8">
        <v>8.9</v>
      </c>
      <c r="I96" s="8">
        <v>3.1</v>
      </c>
      <c r="J96" s="8">
        <v>0.6</v>
      </c>
      <c r="K96" s="8">
        <v>0</v>
      </c>
      <c r="L96" s="8">
        <v>0.5</v>
      </c>
      <c r="M96" s="8">
        <v>0</v>
      </c>
      <c r="N96" s="8">
        <v>23.7</v>
      </c>
      <c r="O96" s="8">
        <f t="shared" si="1"/>
        <v>100.1</v>
      </c>
      <c r="P96" s="16"/>
    </row>
    <row r="97" spans="2:16" x14ac:dyDescent="0.2">
      <c r="B97" s="8">
        <v>96</v>
      </c>
      <c r="C97" s="1">
        <v>73241</v>
      </c>
      <c r="D97" s="8">
        <v>50.4</v>
      </c>
      <c r="E97" s="8">
        <v>10.8</v>
      </c>
      <c r="F97" s="8">
        <v>4.8</v>
      </c>
      <c r="G97" s="8">
        <v>6.5</v>
      </c>
      <c r="H97" s="8">
        <v>9.6999999999999993</v>
      </c>
      <c r="I97" s="8">
        <v>3.4</v>
      </c>
      <c r="J97" s="8">
        <v>0</v>
      </c>
      <c r="K97" s="8">
        <v>0.2</v>
      </c>
      <c r="L97" s="8">
        <v>0.4</v>
      </c>
      <c r="M97" s="8">
        <v>0</v>
      </c>
      <c r="N97" s="8">
        <v>13.8</v>
      </c>
      <c r="O97" s="8">
        <f t="shared" si="1"/>
        <v>100.00000000000001</v>
      </c>
      <c r="P97" s="16"/>
    </row>
    <row r="98" spans="2:16" x14ac:dyDescent="0.2">
      <c r="B98" s="8">
        <v>97</v>
      </c>
      <c r="C98" s="1">
        <v>73261</v>
      </c>
      <c r="D98" s="8">
        <v>44.3</v>
      </c>
      <c r="E98" s="8">
        <v>10.1</v>
      </c>
      <c r="F98" s="8">
        <v>5.5</v>
      </c>
      <c r="G98" s="8">
        <v>5.0999999999999996</v>
      </c>
      <c r="H98" s="8">
        <v>7.7</v>
      </c>
      <c r="I98" s="8">
        <v>3.3</v>
      </c>
      <c r="J98" s="8">
        <v>0</v>
      </c>
      <c r="K98" s="8">
        <v>0.4</v>
      </c>
      <c r="L98" s="8">
        <v>0.7</v>
      </c>
      <c r="M98" s="8">
        <v>0</v>
      </c>
      <c r="N98" s="8">
        <v>23.1</v>
      </c>
      <c r="O98" s="8">
        <f t="shared" si="1"/>
        <v>100.20000000000002</v>
      </c>
      <c r="P98" s="16"/>
    </row>
    <row r="99" spans="2:16" x14ac:dyDescent="0.2">
      <c r="B99" s="8">
        <v>98</v>
      </c>
      <c r="C99" s="1">
        <v>73281</v>
      </c>
      <c r="D99" s="8">
        <v>47.7</v>
      </c>
      <c r="E99" s="8">
        <v>10.5</v>
      </c>
      <c r="F99" s="8">
        <v>7.6</v>
      </c>
      <c r="G99" s="8">
        <v>0</v>
      </c>
      <c r="H99" s="8">
        <v>5.8</v>
      </c>
      <c r="I99" s="8">
        <v>4.9000000000000004</v>
      </c>
      <c r="J99" s="8">
        <v>1.1000000000000001</v>
      </c>
      <c r="K99" s="8">
        <v>0.6</v>
      </c>
      <c r="L99" s="8">
        <v>0.5</v>
      </c>
      <c r="M99" s="8">
        <v>0.2</v>
      </c>
      <c r="N99" s="8">
        <v>21.1</v>
      </c>
      <c r="O99" s="8">
        <f t="shared" si="1"/>
        <v>100</v>
      </c>
      <c r="P99" s="16"/>
    </row>
    <row r="100" spans="2:16" x14ac:dyDescent="0.2">
      <c r="B100" s="8">
        <v>99</v>
      </c>
      <c r="C100" s="1">
        <v>74114</v>
      </c>
      <c r="D100" s="8">
        <v>38.799999999999997</v>
      </c>
      <c r="E100" s="8">
        <v>12.6</v>
      </c>
      <c r="F100" s="8">
        <v>8.3000000000000007</v>
      </c>
      <c r="G100" s="8">
        <v>4.7</v>
      </c>
      <c r="H100" s="8">
        <v>8</v>
      </c>
      <c r="I100" s="8">
        <v>4.4000000000000004</v>
      </c>
      <c r="J100" s="8">
        <v>1.1000000000000001</v>
      </c>
      <c r="K100" s="8">
        <v>0.5</v>
      </c>
      <c r="L100" s="8">
        <v>0.8</v>
      </c>
      <c r="M100" s="8">
        <v>0</v>
      </c>
      <c r="N100" s="8">
        <v>20.7</v>
      </c>
      <c r="O100" s="8">
        <f t="shared" si="1"/>
        <v>99.9</v>
      </c>
      <c r="P100" s="16"/>
    </row>
    <row r="101" spans="2:16" x14ac:dyDescent="0.2">
      <c r="B101" s="8">
        <v>100</v>
      </c>
      <c r="C101" s="1">
        <v>74241</v>
      </c>
      <c r="D101" s="8">
        <v>20.100000000000001</v>
      </c>
      <c r="E101" s="8">
        <v>1</v>
      </c>
      <c r="F101" s="8">
        <v>12.8</v>
      </c>
      <c r="G101" s="8">
        <v>0.9</v>
      </c>
      <c r="H101" s="8">
        <v>13.6</v>
      </c>
      <c r="I101" s="8">
        <v>12.6</v>
      </c>
      <c r="J101" s="8">
        <v>1.2</v>
      </c>
      <c r="K101" s="8">
        <v>0</v>
      </c>
      <c r="L101" s="8">
        <v>1.1000000000000001</v>
      </c>
      <c r="M101" s="8">
        <v>0</v>
      </c>
      <c r="N101" s="8">
        <v>36.799999999999997</v>
      </c>
      <c r="O101" s="8">
        <f t="shared" si="1"/>
        <v>100.10000000000001</v>
      </c>
      <c r="P101" s="16"/>
    </row>
    <row r="102" spans="2:16" x14ac:dyDescent="0.2">
      <c r="B102" s="8">
        <v>101</v>
      </c>
      <c r="C102" s="1">
        <v>74261</v>
      </c>
      <c r="D102" s="8">
        <v>18.899999999999999</v>
      </c>
      <c r="E102" s="8">
        <v>7.7</v>
      </c>
      <c r="F102" s="8">
        <v>12.6</v>
      </c>
      <c r="G102" s="8">
        <v>3.6</v>
      </c>
      <c r="H102" s="8">
        <v>10</v>
      </c>
      <c r="I102" s="8">
        <v>8.6999999999999993</v>
      </c>
      <c r="J102" s="8">
        <v>0</v>
      </c>
      <c r="K102" s="8">
        <v>0</v>
      </c>
      <c r="L102" s="8">
        <v>1.2</v>
      </c>
      <c r="M102" s="8">
        <v>0</v>
      </c>
      <c r="N102" s="8">
        <v>37.5</v>
      </c>
      <c r="O102" s="8">
        <f t="shared" si="1"/>
        <v>100.2</v>
      </c>
      <c r="P102" s="16"/>
    </row>
    <row r="103" spans="2:16" x14ac:dyDescent="0.2">
      <c r="B103" s="8">
        <v>102</v>
      </c>
      <c r="C103" s="1">
        <v>75061</v>
      </c>
      <c r="D103" s="8">
        <v>20.7</v>
      </c>
      <c r="E103" s="8">
        <v>0.2</v>
      </c>
      <c r="F103" s="8">
        <v>17</v>
      </c>
      <c r="G103" s="8">
        <v>0</v>
      </c>
      <c r="H103" s="8">
        <v>16.7</v>
      </c>
      <c r="I103" s="8">
        <v>11.2</v>
      </c>
      <c r="J103" s="8">
        <v>0.8</v>
      </c>
      <c r="K103" s="8">
        <v>0</v>
      </c>
      <c r="L103" s="8">
        <v>1.5</v>
      </c>
      <c r="M103" s="8">
        <v>0</v>
      </c>
      <c r="N103" s="8">
        <v>31.9</v>
      </c>
      <c r="O103" s="8">
        <f t="shared" si="1"/>
        <v>100</v>
      </c>
      <c r="P103" s="16"/>
    </row>
    <row r="104" spans="2:16" x14ac:dyDescent="0.2">
      <c r="B104" s="8">
        <v>103</v>
      </c>
      <c r="C104" s="1">
        <v>75081</v>
      </c>
      <c r="D104" s="8">
        <v>19.399999999999999</v>
      </c>
      <c r="E104" s="8">
        <v>0.9</v>
      </c>
      <c r="F104" s="8">
        <v>17.399999999999999</v>
      </c>
      <c r="G104" s="8">
        <v>0</v>
      </c>
      <c r="H104" s="8">
        <v>14</v>
      </c>
      <c r="I104" s="8">
        <v>12.9</v>
      </c>
      <c r="J104" s="8">
        <v>0.5</v>
      </c>
      <c r="K104" s="8">
        <v>0.5</v>
      </c>
      <c r="L104" s="8">
        <v>1.2</v>
      </c>
      <c r="M104" s="8">
        <v>0.2</v>
      </c>
      <c r="N104" s="8">
        <v>33.1</v>
      </c>
      <c r="O104" s="8">
        <f t="shared" si="1"/>
        <v>100.1</v>
      </c>
      <c r="P104" s="16"/>
    </row>
    <row r="105" spans="2:16" x14ac:dyDescent="0.2">
      <c r="B105" s="8">
        <v>104</v>
      </c>
      <c r="C105" s="1">
        <v>75111</v>
      </c>
      <c r="D105" s="8">
        <v>15.7</v>
      </c>
      <c r="E105" s="8">
        <v>9.6999999999999993</v>
      </c>
      <c r="F105" s="8">
        <v>10.6</v>
      </c>
      <c r="G105" s="8">
        <v>3.2</v>
      </c>
      <c r="H105" s="8">
        <v>9</v>
      </c>
      <c r="I105" s="8">
        <v>9.4</v>
      </c>
      <c r="J105" s="8">
        <v>0.1</v>
      </c>
      <c r="K105" s="8">
        <v>0.2</v>
      </c>
      <c r="L105" s="8">
        <v>0.6</v>
      </c>
      <c r="M105" s="8">
        <v>0.4</v>
      </c>
      <c r="N105" s="8">
        <v>41.1</v>
      </c>
      <c r="O105" s="8">
        <f t="shared" si="1"/>
        <v>100</v>
      </c>
      <c r="P105" s="16"/>
    </row>
    <row r="106" spans="2:16" x14ac:dyDescent="0.2">
      <c r="B106" s="8">
        <v>105</v>
      </c>
      <c r="C106" s="1">
        <v>75121</v>
      </c>
      <c r="D106" s="8">
        <v>18.2</v>
      </c>
      <c r="E106" s="8">
        <v>9</v>
      </c>
      <c r="F106" s="8">
        <v>10.199999999999999</v>
      </c>
      <c r="G106" s="8">
        <v>1.1000000000000001</v>
      </c>
      <c r="H106" s="8">
        <v>9.1999999999999993</v>
      </c>
      <c r="I106" s="8">
        <v>8.8000000000000007</v>
      </c>
      <c r="J106" s="8">
        <v>1</v>
      </c>
      <c r="K106" s="8">
        <v>0</v>
      </c>
      <c r="L106" s="8">
        <v>0.7</v>
      </c>
      <c r="M106" s="8">
        <v>0</v>
      </c>
      <c r="N106" s="8">
        <v>41.7</v>
      </c>
      <c r="O106" s="8">
        <f t="shared" si="1"/>
        <v>99.9</v>
      </c>
      <c r="P106" s="16"/>
    </row>
    <row r="107" spans="2:16" x14ac:dyDescent="0.2">
      <c r="B107" s="8">
        <v>106</v>
      </c>
      <c r="C107" s="1">
        <v>76121</v>
      </c>
      <c r="D107" s="8">
        <v>20.2</v>
      </c>
      <c r="E107" s="8">
        <v>9.1</v>
      </c>
      <c r="F107" s="8">
        <v>10</v>
      </c>
      <c r="G107" s="8">
        <v>2.2000000000000002</v>
      </c>
      <c r="H107" s="8">
        <v>10.199999999999999</v>
      </c>
      <c r="I107" s="8">
        <v>8.3000000000000007</v>
      </c>
      <c r="J107" s="8">
        <v>1.2</v>
      </c>
      <c r="K107" s="8">
        <v>1</v>
      </c>
      <c r="L107" s="8">
        <v>0.8</v>
      </c>
      <c r="M107" s="8">
        <v>0.3</v>
      </c>
      <c r="N107" s="8">
        <v>36.799999999999997</v>
      </c>
      <c r="O107" s="8">
        <f t="shared" si="1"/>
        <v>100.1</v>
      </c>
      <c r="P107" s="16"/>
    </row>
    <row r="108" spans="2:16" x14ac:dyDescent="0.2">
      <c r="B108" s="8">
        <v>107</v>
      </c>
      <c r="C108" s="1">
        <v>76131</v>
      </c>
      <c r="D108" s="8">
        <v>31.7</v>
      </c>
      <c r="E108" s="8">
        <v>11.2</v>
      </c>
      <c r="F108" s="8">
        <v>8.3000000000000007</v>
      </c>
      <c r="G108" s="8">
        <v>5.5</v>
      </c>
      <c r="H108" s="8">
        <v>5</v>
      </c>
      <c r="I108" s="8">
        <v>4.0999999999999996</v>
      </c>
      <c r="J108" s="8">
        <v>0.8</v>
      </c>
      <c r="K108" s="8">
        <v>0.2</v>
      </c>
      <c r="L108" s="8">
        <v>1</v>
      </c>
      <c r="M108" s="8">
        <v>0.3</v>
      </c>
      <c r="N108" s="8">
        <v>31.9</v>
      </c>
      <c r="O108" s="8">
        <f t="shared" si="1"/>
        <v>100</v>
      </c>
      <c r="P108" s="16"/>
    </row>
    <row r="109" spans="2:16" x14ac:dyDescent="0.2">
      <c r="B109" s="8">
        <v>108</v>
      </c>
      <c r="C109" s="1">
        <v>76221</v>
      </c>
      <c r="D109" s="8">
        <v>33.200000000000003</v>
      </c>
      <c r="E109" s="8">
        <v>13.3</v>
      </c>
      <c r="F109" s="8">
        <v>7.3</v>
      </c>
      <c r="G109" s="8">
        <v>3.9</v>
      </c>
      <c r="H109" s="8">
        <v>7.8</v>
      </c>
      <c r="I109" s="8">
        <v>4.5999999999999996</v>
      </c>
      <c r="J109" s="8">
        <v>0.4</v>
      </c>
      <c r="K109" s="8">
        <v>0.7</v>
      </c>
      <c r="L109" s="8">
        <v>1</v>
      </c>
      <c r="M109" s="8">
        <v>0</v>
      </c>
      <c r="N109" s="8">
        <v>27.9</v>
      </c>
      <c r="O109" s="8">
        <f t="shared" si="1"/>
        <v>100.1</v>
      </c>
      <c r="P109" s="16"/>
    </row>
    <row r="110" spans="2:16" x14ac:dyDescent="0.2">
      <c r="B110" s="8">
        <v>109</v>
      </c>
      <c r="C110" s="1">
        <v>76241</v>
      </c>
      <c r="D110" s="8">
        <v>31.2</v>
      </c>
      <c r="E110" s="8">
        <v>11.4</v>
      </c>
      <c r="F110" s="8">
        <v>7.6</v>
      </c>
      <c r="G110" s="8">
        <v>4.3</v>
      </c>
      <c r="H110" s="8">
        <v>8.3000000000000007</v>
      </c>
      <c r="I110" s="8">
        <v>5</v>
      </c>
      <c r="J110" s="8">
        <v>0.7</v>
      </c>
      <c r="K110" s="8">
        <v>0.4</v>
      </c>
      <c r="L110" s="8">
        <v>0.5</v>
      </c>
      <c r="M110" s="8">
        <v>0.1</v>
      </c>
      <c r="N110" s="8">
        <v>30.6</v>
      </c>
      <c r="O110" s="8">
        <f t="shared" si="1"/>
        <v>100.1</v>
      </c>
      <c r="P110" s="16"/>
    </row>
    <row r="111" spans="2:16" x14ac:dyDescent="0.2">
      <c r="B111" s="8">
        <v>110</v>
      </c>
      <c r="C111" s="1">
        <v>76261</v>
      </c>
      <c r="D111" s="8">
        <v>34.299999999999997</v>
      </c>
      <c r="E111" s="8">
        <v>11.6</v>
      </c>
      <c r="F111" s="8">
        <v>7.4</v>
      </c>
      <c r="G111" s="8">
        <v>2.2999999999999998</v>
      </c>
      <c r="H111" s="8">
        <v>9.1</v>
      </c>
      <c r="I111" s="8">
        <v>6</v>
      </c>
      <c r="J111" s="8">
        <v>1.5</v>
      </c>
      <c r="K111" s="8">
        <v>0.8</v>
      </c>
      <c r="L111" s="8">
        <v>0.6</v>
      </c>
      <c r="M111" s="8">
        <v>0.2</v>
      </c>
      <c r="N111" s="8">
        <v>26.3</v>
      </c>
      <c r="O111" s="8">
        <f t="shared" si="1"/>
        <v>100.09999999999998</v>
      </c>
      <c r="P111" s="16"/>
    </row>
    <row r="112" spans="2:16" x14ac:dyDescent="0.2">
      <c r="B112" s="8">
        <v>111</v>
      </c>
      <c r="C112" s="1">
        <v>76501</v>
      </c>
      <c r="D112" s="8">
        <v>31.3</v>
      </c>
      <c r="E112" s="8">
        <v>12.7</v>
      </c>
      <c r="F112" s="8">
        <v>6.1</v>
      </c>
      <c r="G112" s="8">
        <v>4.4000000000000004</v>
      </c>
      <c r="H112" s="8">
        <v>9.1</v>
      </c>
      <c r="I112" s="8">
        <v>4.5999999999999996</v>
      </c>
      <c r="J112" s="8">
        <v>0.3</v>
      </c>
      <c r="K112" s="8">
        <v>0.3</v>
      </c>
      <c r="L112" s="8">
        <v>0.6</v>
      </c>
      <c r="M112" s="8">
        <v>0.1</v>
      </c>
      <c r="N112" s="8">
        <v>30.5</v>
      </c>
      <c r="O112" s="8">
        <f t="shared" si="1"/>
        <v>99.999999999999986</v>
      </c>
      <c r="P112" s="16"/>
    </row>
    <row r="113" spans="2:16" x14ac:dyDescent="0.2">
      <c r="B113" s="8">
        <v>112</v>
      </c>
      <c r="C113" s="1">
        <v>77531</v>
      </c>
      <c r="D113" s="8">
        <v>29.5</v>
      </c>
      <c r="E113" s="8">
        <v>9.6</v>
      </c>
      <c r="F113" s="8">
        <v>8.6</v>
      </c>
      <c r="G113" s="8">
        <v>3</v>
      </c>
      <c r="H113" s="8">
        <v>6.3</v>
      </c>
      <c r="I113" s="8">
        <v>5.8</v>
      </c>
      <c r="J113" s="8">
        <v>3.1</v>
      </c>
      <c r="K113" s="8">
        <v>0.4</v>
      </c>
      <c r="L113" s="8">
        <v>0.7</v>
      </c>
      <c r="M113" s="8">
        <v>0.1</v>
      </c>
      <c r="N113" s="8">
        <v>33</v>
      </c>
      <c r="O113" s="8">
        <f t="shared" si="1"/>
        <v>100.1</v>
      </c>
      <c r="P113" s="16"/>
    </row>
    <row r="114" spans="2:16" x14ac:dyDescent="0.2">
      <c r="B114" s="8">
        <v>113</v>
      </c>
      <c r="C114" s="1">
        <v>78121</v>
      </c>
      <c r="D114" s="8">
        <v>24.8</v>
      </c>
      <c r="E114" s="8">
        <v>8.4</v>
      </c>
      <c r="F114" s="8">
        <v>10.4</v>
      </c>
      <c r="G114" s="8">
        <v>1.5</v>
      </c>
      <c r="H114" s="8">
        <v>7</v>
      </c>
      <c r="I114" s="8">
        <v>6.7</v>
      </c>
      <c r="J114" s="8">
        <v>1.1000000000000001</v>
      </c>
      <c r="K114" s="8">
        <v>0.5</v>
      </c>
      <c r="L114" s="8">
        <v>0.7</v>
      </c>
      <c r="M114" s="8">
        <v>0.1</v>
      </c>
      <c r="N114" s="8">
        <v>38.799999999999997</v>
      </c>
      <c r="O114" s="8">
        <f t="shared" si="1"/>
        <v>100</v>
      </c>
      <c r="P114" s="16"/>
    </row>
    <row r="115" spans="2:16" x14ac:dyDescent="0.2">
      <c r="B115" s="8">
        <v>114</v>
      </c>
      <c r="C115" s="1">
        <v>78221</v>
      </c>
      <c r="D115" s="8">
        <v>27.2</v>
      </c>
      <c r="E115" s="8">
        <v>8.4</v>
      </c>
      <c r="F115" s="8">
        <v>8.1</v>
      </c>
      <c r="G115" s="8">
        <v>5.0999999999999996</v>
      </c>
      <c r="H115" s="8">
        <v>8.1</v>
      </c>
      <c r="I115" s="8">
        <v>5.2</v>
      </c>
      <c r="J115" s="8">
        <v>0.4</v>
      </c>
      <c r="K115" s="8">
        <v>0.3</v>
      </c>
      <c r="L115" s="8">
        <v>0.5</v>
      </c>
      <c r="M115" s="8">
        <v>0.8</v>
      </c>
      <c r="N115" s="8">
        <v>36</v>
      </c>
      <c r="O115" s="8">
        <f t="shared" si="1"/>
        <v>100.10000000000001</v>
      </c>
      <c r="P115" s="16"/>
    </row>
    <row r="116" spans="2:16" x14ac:dyDescent="0.2">
      <c r="B116" s="8">
        <v>115</v>
      </c>
      <c r="C116" s="1">
        <v>78441</v>
      </c>
      <c r="D116" s="8">
        <v>27.4</v>
      </c>
      <c r="E116" s="8">
        <v>8.3000000000000007</v>
      </c>
      <c r="F116" s="8">
        <v>8.8000000000000007</v>
      </c>
      <c r="G116" s="8">
        <v>4.4000000000000004</v>
      </c>
      <c r="H116" s="8">
        <v>9.1999999999999993</v>
      </c>
      <c r="I116" s="8">
        <v>5.8</v>
      </c>
      <c r="J116" s="8">
        <v>0.1</v>
      </c>
      <c r="K116" s="8">
        <v>0.3</v>
      </c>
      <c r="L116" s="8">
        <v>0.7</v>
      </c>
      <c r="M116" s="8">
        <v>0.9</v>
      </c>
      <c r="N116" s="8">
        <v>34</v>
      </c>
      <c r="O116" s="8">
        <f t="shared" si="1"/>
        <v>99.9</v>
      </c>
      <c r="P116" s="16"/>
    </row>
    <row r="117" spans="2:16" x14ac:dyDescent="0.2">
      <c r="B117" s="8">
        <v>116</v>
      </c>
      <c r="C117" s="1">
        <v>78461</v>
      </c>
      <c r="D117" s="8">
        <v>26.5</v>
      </c>
      <c r="E117" s="8">
        <v>7.3</v>
      </c>
      <c r="F117" s="8">
        <v>8</v>
      </c>
      <c r="G117" s="8">
        <v>5.7</v>
      </c>
      <c r="H117" s="8">
        <v>8.9</v>
      </c>
      <c r="I117" s="8">
        <v>5.5</v>
      </c>
      <c r="J117" s="8">
        <v>0.4</v>
      </c>
      <c r="K117" s="8">
        <v>0</v>
      </c>
      <c r="L117" s="8">
        <v>0.3</v>
      </c>
      <c r="M117" s="8">
        <v>0.2</v>
      </c>
      <c r="N117" s="8">
        <v>37.200000000000003</v>
      </c>
      <c r="O117" s="8">
        <f t="shared" si="1"/>
        <v>100</v>
      </c>
      <c r="P117" s="16"/>
    </row>
    <row r="118" spans="2:16" x14ac:dyDescent="0.2">
      <c r="B118" s="8">
        <v>117</v>
      </c>
      <c r="C118" s="1">
        <v>79121</v>
      </c>
      <c r="D118" s="8">
        <v>15.6</v>
      </c>
      <c r="E118" s="8">
        <v>7.2</v>
      </c>
      <c r="F118" s="8">
        <v>9</v>
      </c>
      <c r="G118" s="8">
        <v>7.8</v>
      </c>
      <c r="H118" s="8">
        <v>9.4</v>
      </c>
      <c r="I118" s="8">
        <v>7.8</v>
      </c>
      <c r="J118" s="8">
        <v>1.4</v>
      </c>
      <c r="K118" s="8">
        <v>0.3</v>
      </c>
      <c r="L118" s="8">
        <v>0.7</v>
      </c>
      <c r="M118" s="8">
        <v>0.3</v>
      </c>
      <c r="N118" s="8">
        <v>40.5</v>
      </c>
      <c r="O118" s="8">
        <f t="shared" si="1"/>
        <v>100</v>
      </c>
      <c r="P118" s="16"/>
    </row>
    <row r="119" spans="2:16" x14ac:dyDescent="0.2">
      <c r="B119" s="8">
        <v>118</v>
      </c>
      <c r="C119" s="1">
        <v>79221</v>
      </c>
      <c r="D119" s="8">
        <v>19.899999999999999</v>
      </c>
      <c r="E119" s="8">
        <v>0.5</v>
      </c>
      <c r="F119" s="8">
        <v>13.8</v>
      </c>
      <c r="G119" s="8">
        <v>2.2000000000000002</v>
      </c>
      <c r="H119" s="8">
        <v>9.8000000000000007</v>
      </c>
      <c r="I119" s="8">
        <v>11.6</v>
      </c>
      <c r="J119" s="8">
        <v>0.9</v>
      </c>
      <c r="K119" s="8">
        <v>0.3</v>
      </c>
      <c r="L119" s="8">
        <v>0.5</v>
      </c>
      <c r="M119" s="8">
        <v>0.2</v>
      </c>
      <c r="N119" s="8">
        <v>40.4</v>
      </c>
      <c r="O119" s="8">
        <f t="shared" si="1"/>
        <v>100.1</v>
      </c>
      <c r="P119" s="17"/>
    </row>
    <row r="120" spans="2:16" s="12" customFormat="1" x14ac:dyDescent="0.2">
      <c r="B120" s="9">
        <v>119</v>
      </c>
      <c r="C120" s="10" t="s">
        <v>11</v>
      </c>
      <c r="D120" s="11">
        <v>29.1</v>
      </c>
      <c r="E120" s="11">
        <v>5.5</v>
      </c>
      <c r="F120" s="11">
        <v>28.8</v>
      </c>
      <c r="G120" s="11">
        <v>0</v>
      </c>
      <c r="H120" s="11">
        <v>13.3</v>
      </c>
      <c r="I120" s="11">
        <v>4.5999999999999996</v>
      </c>
      <c r="J120" s="11">
        <v>0</v>
      </c>
      <c r="K120" s="11">
        <v>0.4</v>
      </c>
      <c r="L120" s="11">
        <v>0</v>
      </c>
      <c r="M120" s="11">
        <v>0.1</v>
      </c>
      <c r="N120" s="11">
        <v>18.2</v>
      </c>
      <c r="O120" s="9">
        <f t="shared" si="1"/>
        <v>100</v>
      </c>
      <c r="P120" s="18" t="s">
        <v>22</v>
      </c>
    </row>
    <row r="121" spans="2:16" s="12" customFormat="1" x14ac:dyDescent="0.2">
      <c r="B121" s="9">
        <v>120</v>
      </c>
      <c r="C121" s="10" t="s">
        <v>12</v>
      </c>
      <c r="D121" s="11">
        <v>31.8</v>
      </c>
      <c r="E121" s="11">
        <v>6.4</v>
      </c>
      <c r="F121" s="11">
        <v>35</v>
      </c>
      <c r="G121" s="11">
        <v>0</v>
      </c>
      <c r="H121" s="11">
        <v>9.1</v>
      </c>
      <c r="I121" s="11">
        <v>4.3</v>
      </c>
      <c r="J121" s="11">
        <v>0</v>
      </c>
      <c r="K121" s="11">
        <v>0.4</v>
      </c>
      <c r="L121" s="11">
        <v>0</v>
      </c>
      <c r="M121" s="11">
        <v>1.4</v>
      </c>
      <c r="N121" s="11">
        <v>11.6</v>
      </c>
      <c r="O121" s="9">
        <f t="shared" si="1"/>
        <v>100</v>
      </c>
      <c r="P121" s="19"/>
    </row>
    <row r="122" spans="2:16" s="12" customFormat="1" x14ac:dyDescent="0.2">
      <c r="B122" s="9">
        <v>121</v>
      </c>
      <c r="C122" s="10" t="s">
        <v>13</v>
      </c>
      <c r="D122" s="11">
        <v>29.3</v>
      </c>
      <c r="E122" s="11">
        <v>5.4</v>
      </c>
      <c r="F122" s="11">
        <v>28.8</v>
      </c>
      <c r="G122" s="11">
        <v>0</v>
      </c>
      <c r="H122" s="11">
        <v>10.9</v>
      </c>
      <c r="I122" s="11">
        <v>4.5999999999999996</v>
      </c>
      <c r="J122" s="11">
        <v>0</v>
      </c>
      <c r="K122" s="11">
        <v>0.3</v>
      </c>
      <c r="L122" s="11">
        <v>0</v>
      </c>
      <c r="M122" s="11">
        <v>0.7</v>
      </c>
      <c r="N122" s="11">
        <v>20</v>
      </c>
      <c r="O122" s="9">
        <f t="shared" si="1"/>
        <v>100</v>
      </c>
      <c r="P122" s="19"/>
    </row>
    <row r="123" spans="2:16" s="12" customFormat="1" x14ac:dyDescent="0.2">
      <c r="B123" s="9">
        <v>122</v>
      </c>
      <c r="C123" s="10" t="s">
        <v>16</v>
      </c>
      <c r="D123" s="11">
        <v>30.1</v>
      </c>
      <c r="E123" s="11">
        <v>5.6999999999999993</v>
      </c>
      <c r="F123" s="11">
        <v>30.9</v>
      </c>
      <c r="G123" s="11">
        <v>0</v>
      </c>
      <c r="H123" s="11">
        <v>11.1</v>
      </c>
      <c r="I123" s="11">
        <v>4.5</v>
      </c>
      <c r="J123" s="11">
        <v>0</v>
      </c>
      <c r="K123" s="11">
        <v>0.4</v>
      </c>
      <c r="L123" s="11">
        <v>0</v>
      </c>
      <c r="M123" s="11">
        <v>0.7</v>
      </c>
      <c r="N123" s="11">
        <v>16.600000000000001</v>
      </c>
      <c r="O123" s="9">
        <f t="shared" si="1"/>
        <v>100</v>
      </c>
      <c r="P123" s="20"/>
    </row>
    <row r="125" spans="2:16" x14ac:dyDescent="0.2">
      <c r="B125" s="13" t="s">
        <v>17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2:16" x14ac:dyDescent="0.2">
      <c r="B126" s="14" t="s">
        <v>18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 spans="2:16" x14ac:dyDescent="0.2">
      <c r="B127" s="14" t="s">
        <v>19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</sheetData>
  <mergeCells count="5">
    <mergeCell ref="B125:O125"/>
    <mergeCell ref="B126:O126"/>
    <mergeCell ref="B127:O127"/>
    <mergeCell ref="P2:P119"/>
    <mergeCell ref="P120:P123"/>
  </mergeCells>
  <phoneticPr fontId="1" type="noConversion"/>
  <pageMargins left="0.7" right="0.7" top="0.75" bottom="0.75" header="0.3" footer="0.3"/>
  <pageSetup paperSize="9" orientation="portrait" r:id="rId1"/>
  <ignoredErrors>
    <ignoredError sqref="O2:O1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2015-06-05T18:19:34Z</dcterms:created>
  <dcterms:modified xsi:type="dcterms:W3CDTF">2022-01-07T07:58:22Z</dcterms:modified>
</cp:coreProperties>
</file>